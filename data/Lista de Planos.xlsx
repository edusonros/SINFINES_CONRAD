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dusonros_projects\"/>
    </mc:Choice>
  </mc:AlternateContent>
  <xr:revisionPtr revIDLastSave="0" documentId="13_ncr:1_{D6C851E2-8F29-4E65-A00F-0DFBED73F14E}" xr6:coauthVersionLast="47" xr6:coauthVersionMax="47" xr10:uidLastSave="{00000000-0000-0000-0000-000000000000}"/>
  <bookViews>
    <workbookView xWindow="-105" yWindow="0" windowWidth="14610" windowHeight="15585" xr2:uid="{11BE822D-5630-47F4-9A01-D9EAE77E40DB}"/>
  </bookViews>
  <sheets>
    <sheet name="HojaPrincipal" sheetId="1" r:id="rId1"/>
    <sheet name="CAT_RODAMIENTOS" sheetId="5" r:id="rId2"/>
    <sheet name="LISTA_EJE_TUBO" sheetId="3" r:id="rId3"/>
    <sheet name="LISTA_MATERIALES" sheetId="2" r:id="rId4"/>
  </sheets>
  <definedNames>
    <definedName name="DatosExternos_1" localSheetId="1" hidden="1">'CAT_RODAMIENTOS'!$A$1:$E$23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E7" i="1"/>
  <c r="F2" i="5" s="1"/>
  <c r="F21" i="5" l="1"/>
  <c r="F17" i="5"/>
  <c r="F13" i="5"/>
  <c r="F9" i="5"/>
  <c r="F5" i="5"/>
  <c r="F23" i="5"/>
  <c r="F19" i="5"/>
  <c r="F15" i="5"/>
  <c r="F11" i="5"/>
  <c r="F7" i="5"/>
  <c r="F3" i="5"/>
  <c r="C13" i="1"/>
  <c r="F22" i="5"/>
  <c r="F20" i="5"/>
  <c r="F18" i="5"/>
  <c r="F16" i="5"/>
  <c r="F14" i="5"/>
  <c r="F12" i="5"/>
  <c r="F10" i="5"/>
  <c r="F8" i="5"/>
  <c r="F6" i="5"/>
  <c r="F4" i="5"/>
  <c r="D40" i="1"/>
  <c r="C9" i="1" s="1"/>
  <c r="E40" i="1"/>
  <c r="F40" i="1"/>
  <c r="C8" i="1" l="1"/>
  <c r="G40" i="1"/>
  <c r="C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340827-2EF5-45E7-BABF-8048ABE93365}" keepAlive="1" name="Consulta - CAT_RODAMIENTOS" description="Conexión a la consulta 'CAT_RODAMIENTOS' en el libro." type="5" refreshedVersion="8" background="1" saveData="1">
    <dbPr connection="Provider=Microsoft.Mashup.OleDb.1;Data Source=$Workbook$;Location=CAT_RODAMIENTOS;Extended Properties=&quot;&quot;" command="SELECT * FROM [CAT_RODAMIENTOS]"/>
  </connection>
</connections>
</file>

<file path=xl/sharedStrings.xml><?xml version="1.0" encoding="utf-8"?>
<sst xmlns="http://schemas.openxmlformats.org/spreadsheetml/2006/main" count="114" uniqueCount="101">
  <si>
    <t>LISTADO GENERAL SINFÍN</t>
  </si>
  <si>
    <t>PARTE 001: TORNILLO</t>
  </si>
  <si>
    <t>001.001</t>
  </si>
  <si>
    <t>Mangon Accionamiento</t>
  </si>
  <si>
    <t>Mangon Conducido</t>
  </si>
  <si>
    <t>Mangon de Empalme</t>
  </si>
  <si>
    <t>001.002</t>
  </si>
  <si>
    <t>001.003</t>
  </si>
  <si>
    <t>001.004</t>
  </si>
  <si>
    <t>001.005</t>
  </si>
  <si>
    <t>Tubo</t>
  </si>
  <si>
    <t>Testeros</t>
  </si>
  <si>
    <t>Ventana Inspeccion</t>
  </si>
  <si>
    <t>Chapa sujeccion mangon intermedio</t>
  </si>
  <si>
    <t>Boca Entrada</t>
  </si>
  <si>
    <t>Boca Salida</t>
  </si>
  <si>
    <t>001.006</t>
  </si>
  <si>
    <t>Tornilleria</t>
  </si>
  <si>
    <t>PARTE 002A: CAMISA TUBO ø</t>
  </si>
  <si>
    <t>PARTE 002B: CAMISA ARTESA</t>
  </si>
  <si>
    <t>Chapa Artesa</t>
  </si>
  <si>
    <t>002B.001</t>
  </si>
  <si>
    <t>002B.002</t>
  </si>
  <si>
    <t>002B.003</t>
  </si>
  <si>
    <t>002B.004</t>
  </si>
  <si>
    <t>002B.005</t>
  </si>
  <si>
    <t>002B.006</t>
  </si>
  <si>
    <t>002A.001</t>
  </si>
  <si>
    <t>002A.002</t>
  </si>
  <si>
    <t>002A.003</t>
  </si>
  <si>
    <t>002A.004</t>
  </si>
  <si>
    <t>002A.005</t>
  </si>
  <si>
    <t>002A.006</t>
  </si>
  <si>
    <t>PARTE 003:  PARTE CONDUCCION</t>
  </si>
  <si>
    <t>Brida</t>
  </si>
  <si>
    <t>Prensaestopas</t>
  </si>
  <si>
    <t>Bancada Soporte</t>
  </si>
  <si>
    <t>Cjto Rodamiento</t>
  </si>
  <si>
    <t>Cjto Motor-Reductor</t>
  </si>
  <si>
    <t>Sellado</t>
  </si>
  <si>
    <t>PARTE 004:  PARTE CONDUCIDO</t>
  </si>
  <si>
    <t>003.001</t>
  </si>
  <si>
    <t>003.002</t>
  </si>
  <si>
    <t>003.003</t>
  </si>
  <si>
    <t>003.004</t>
  </si>
  <si>
    <t>003.005</t>
  </si>
  <si>
    <t>004.001</t>
  </si>
  <si>
    <t>004.002</t>
  </si>
  <si>
    <t>004.003</t>
  </si>
  <si>
    <t>004.004</t>
  </si>
  <si>
    <t>003.006</t>
  </si>
  <si>
    <t>004.005</t>
  </si>
  <si>
    <t>Material:</t>
  </si>
  <si>
    <t>S275JR</t>
  </si>
  <si>
    <t>S355J2+N</t>
  </si>
  <si>
    <t>HARDOX 400</t>
  </si>
  <si>
    <t>HARDOX 450</t>
  </si>
  <si>
    <t>HARDOX 500</t>
  </si>
  <si>
    <t>AISI 304</t>
  </si>
  <si>
    <t>AISI 316</t>
  </si>
  <si>
    <t>Serie</t>
  </si>
  <si>
    <t>Referencia</t>
  </si>
  <si>
    <t>d_mm</t>
  </si>
  <si>
    <t>D_mm.1</t>
  </si>
  <si>
    <t>B_mm</t>
  </si>
  <si>
    <t>SKF 22208 E</t>
  </si>
  <si>
    <t>SKF 22209 E</t>
  </si>
  <si>
    <t>SKF 22210 E</t>
  </si>
  <si>
    <t>SKF 22211 E</t>
  </si>
  <si>
    <t>SKF 22212 E</t>
  </si>
  <si>
    <t>SKF 22213 E</t>
  </si>
  <si>
    <t>SKF 22214 E</t>
  </si>
  <si>
    <t>SKF 22215 E</t>
  </si>
  <si>
    <t>SKF 22216 E</t>
  </si>
  <si>
    <t>SKF 22217 E</t>
  </si>
  <si>
    <t>SKF 22218 E</t>
  </si>
  <si>
    <t>SKF 22220 E</t>
  </si>
  <si>
    <t>SKF 22310 E</t>
  </si>
  <si>
    <t>SKF 22311 E</t>
  </si>
  <si>
    <t>SKF 22312 E</t>
  </si>
  <si>
    <t>SKF 22313 E</t>
  </si>
  <si>
    <t>SKF 22314 E</t>
  </si>
  <si>
    <t>SKF 22315 E</t>
  </si>
  <si>
    <t>SKF 22316 E</t>
  </si>
  <si>
    <t>SKF 22317 E</t>
  </si>
  <si>
    <t>SKF 22318 E</t>
  </si>
  <si>
    <t>SKF 22320 E</t>
  </si>
  <si>
    <t>Valido_para_EJE</t>
  </si>
  <si>
    <t>001.005.001</t>
  </si>
  <si>
    <t>001.005.002</t>
  </si>
  <si>
    <t>Mínimo</t>
  </si>
  <si>
    <t>Número de Tornillos para atornillar mangones y tubo</t>
  </si>
  <si>
    <t>Espiras: Cantidad</t>
  </si>
  <si>
    <t>Diametro Exterior Espiras</t>
  </si>
  <si>
    <t>Diametro Interior Espiras</t>
  </si>
  <si>
    <t>001.005.003</t>
  </si>
  <si>
    <t>Paso 01 espiras</t>
  </si>
  <si>
    <t>001.005.004</t>
  </si>
  <si>
    <t>Paso 02 espiras</t>
  </si>
  <si>
    <t>Eje Tubo / Longitud Tubo</t>
  </si>
  <si>
    <t>Distancia entre Testeros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</si>
</sst>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E888B85-D027-472D-8895-9E1FBBF2ACC8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Serie" tableColumnId="1"/>
      <queryTableField id="2" name="Referencia" tableColumnId="2"/>
      <queryTableField id="3" name="d_mm" tableColumnId="3"/>
      <queryTableField id="4" name="D_mm.1" tableColumnId="4"/>
      <queryTableField id="5" name="B_mm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04AA96-416B-4BDF-844B-193E5EFEC21F}" name="CAT_RODAMIENTOS" displayName="CAT_RODAMIENTOS" ref="A1:F23" tableType="queryTable" totalsRowShown="0">
  <autoFilter ref="A1:F23" xr:uid="{9304AA96-416B-4BDF-844B-193E5EFEC21F}"/>
  <tableColumns count="6">
    <tableColumn id="1" xr3:uid="{134C1488-1780-4BAA-94AA-1CB54546C9B2}" uniqueName="1" name="Serie" queryTableFieldId="1"/>
    <tableColumn id="2" xr3:uid="{6108B600-8534-4027-BBD5-9AB0A2374A67}" uniqueName="2" name="Referencia" queryTableFieldId="2" dataDxfId="1"/>
    <tableColumn id="3" xr3:uid="{E77F5C50-4FBF-45B4-A394-940F4DA92784}" uniqueName="3" name="d_mm" queryTableFieldId="3"/>
    <tableColumn id="4" xr3:uid="{BE48D2C7-8B52-46C1-A484-E6D7EA270B47}" uniqueName="4" name="D_mm.1" queryTableFieldId="4"/>
    <tableColumn id="5" xr3:uid="{519794C1-1D4C-48D1-B25A-7F47A2879702}" uniqueName="5" name="B_mm" queryTableFieldId="5"/>
    <tableColumn id="6" xr3:uid="{F3015424-A654-4B00-91D8-6C5521A6A95A}" uniqueName="6" name="Valido_para_EJE" queryTableFieldId="6" dataDxfId="0">
      <calculatedColumnFormula>IF(VALUE(C2)&lt;=HojaPrincipal!$E$7,B2,"")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9885-F2EB-40A0-94FE-62F6BB5BBB5F}">
  <dimension ref="A1:G49"/>
  <sheetViews>
    <sheetView tabSelected="1" topLeftCell="A7" workbookViewId="0">
      <selection activeCell="C29" sqref="C29:C34"/>
    </sheetView>
  </sheetViews>
  <sheetFormatPr defaultColWidth="11.42578125" defaultRowHeight="15" x14ac:dyDescent="0.25"/>
  <cols>
    <col min="2" max="2" width="34" bestFit="1" customWidth="1"/>
    <col min="3" max="3" width="8.140625" customWidth="1"/>
    <col min="4" max="4" width="7" customWidth="1"/>
  </cols>
  <sheetData>
    <row r="1" spans="1:5" x14ac:dyDescent="0.25">
      <c r="A1" s="6" t="s">
        <v>0</v>
      </c>
      <c r="B1" s="6"/>
    </row>
    <row r="2" spans="1:5" x14ac:dyDescent="0.25">
      <c r="A2" s="4"/>
      <c r="B2" s="4"/>
    </row>
    <row r="3" spans="1:5" x14ac:dyDescent="0.25">
      <c r="A3" s="5" t="s">
        <v>52</v>
      </c>
      <c r="B3" s="5" t="s">
        <v>54</v>
      </c>
    </row>
    <row r="4" spans="1:5" x14ac:dyDescent="0.25">
      <c r="A4" s="4"/>
      <c r="B4" s="4"/>
    </row>
    <row r="6" spans="1:5" x14ac:dyDescent="0.25">
      <c r="A6" s="2" t="s">
        <v>1</v>
      </c>
      <c r="B6" s="2"/>
      <c r="C6" s="7"/>
    </row>
    <row r="7" spans="1:5" x14ac:dyDescent="0.25">
      <c r="A7" s="3" t="s">
        <v>2</v>
      </c>
      <c r="B7" s="2" t="s">
        <v>99</v>
      </c>
      <c r="C7" s="2">
        <v>60.3</v>
      </c>
      <c r="D7" s="2"/>
      <c r="E7">
        <f>VALUE(C7)</f>
        <v>60.3</v>
      </c>
    </row>
    <row r="8" spans="1:5" x14ac:dyDescent="0.25">
      <c r="A8" s="3" t="s">
        <v>6</v>
      </c>
      <c r="B8" s="2" t="s">
        <v>4</v>
      </c>
      <c r="C8" s="8">
        <f>IF($D$40="","",$D$40)</f>
        <v>55</v>
      </c>
    </row>
    <row r="9" spans="1:5" x14ac:dyDescent="0.25">
      <c r="A9" s="3" t="s">
        <v>7</v>
      </c>
      <c r="B9" s="2" t="s">
        <v>5</v>
      </c>
      <c r="C9" s="2">
        <f>IF($D$40="","",$D$40)</f>
        <v>55</v>
      </c>
    </row>
    <row r="10" spans="1:5" x14ac:dyDescent="0.25">
      <c r="A10" s="3" t="s">
        <v>8</v>
      </c>
      <c r="B10" s="2" t="s">
        <v>3</v>
      </c>
      <c r="C10" s="2">
        <f>IF($D$40="","",$D$40)</f>
        <v>55</v>
      </c>
    </row>
    <row r="11" spans="1:5" x14ac:dyDescent="0.25">
      <c r="A11" s="3" t="s">
        <v>9</v>
      </c>
      <c r="B11" s="2" t="s">
        <v>92</v>
      </c>
      <c r="C11" s="2"/>
    </row>
    <row r="12" spans="1:5" x14ac:dyDescent="0.25">
      <c r="A12" s="3" t="s">
        <v>88</v>
      </c>
      <c r="B12" s="2" t="s">
        <v>93</v>
      </c>
      <c r="C12" s="2"/>
    </row>
    <row r="13" spans="1:5" x14ac:dyDescent="0.25">
      <c r="A13" s="3" t="s">
        <v>89</v>
      </c>
      <c r="B13" s="2" t="s">
        <v>94</v>
      </c>
      <c r="C13" s="2">
        <f>E7+3</f>
        <v>63.3</v>
      </c>
    </row>
    <row r="14" spans="1:5" x14ac:dyDescent="0.25">
      <c r="A14" s="3" t="s">
        <v>95</v>
      </c>
      <c r="B14" s="2" t="s">
        <v>96</v>
      </c>
      <c r="C14" s="2"/>
    </row>
    <row r="15" spans="1:5" x14ac:dyDescent="0.25">
      <c r="A15" s="3" t="s">
        <v>97</v>
      </c>
      <c r="B15" s="2" t="s">
        <v>98</v>
      </c>
      <c r="C15" s="2"/>
    </row>
    <row r="16" spans="1:5" x14ac:dyDescent="0.25">
      <c r="A16" s="3" t="s">
        <v>16</v>
      </c>
      <c r="B16" s="2" t="s">
        <v>17</v>
      </c>
      <c r="C16" s="2">
        <v>4</v>
      </c>
      <c r="D16" t="s">
        <v>91</v>
      </c>
    </row>
    <row r="17" spans="1:4" x14ac:dyDescent="0.25">
      <c r="A17" s="1"/>
    </row>
    <row r="18" spans="1:4" x14ac:dyDescent="0.25">
      <c r="A18" s="3" t="s">
        <v>18</v>
      </c>
      <c r="B18" s="2"/>
    </row>
    <row r="19" spans="1:4" x14ac:dyDescent="0.25">
      <c r="A19" s="9" t="s">
        <v>100</v>
      </c>
      <c r="B19" s="10"/>
      <c r="C19" s="2"/>
    </row>
    <row r="20" spans="1:4" x14ac:dyDescent="0.25">
      <c r="A20" s="3" t="s">
        <v>27</v>
      </c>
      <c r="B20" s="2" t="s">
        <v>10</v>
      </c>
      <c r="C20" s="2">
        <f>C12+8</f>
        <v>8</v>
      </c>
      <c r="D20" t="s">
        <v>90</v>
      </c>
    </row>
    <row r="21" spans="1:4" x14ac:dyDescent="0.25">
      <c r="A21" s="3" t="s">
        <v>28</v>
      </c>
      <c r="B21" s="2" t="s">
        <v>11</v>
      </c>
      <c r="C21" s="2"/>
    </row>
    <row r="22" spans="1:4" x14ac:dyDescent="0.25">
      <c r="A22" s="3" t="s">
        <v>29</v>
      </c>
      <c r="B22" s="2" t="s">
        <v>12</v>
      </c>
      <c r="C22" s="2"/>
    </row>
    <row r="23" spans="1:4" x14ac:dyDescent="0.25">
      <c r="A23" s="3" t="s">
        <v>30</v>
      </c>
      <c r="B23" s="2" t="s">
        <v>13</v>
      </c>
      <c r="C23" s="2"/>
    </row>
    <row r="24" spans="1:4" x14ac:dyDescent="0.25">
      <c r="A24" s="3" t="s">
        <v>31</v>
      </c>
      <c r="B24" s="2" t="s">
        <v>14</v>
      </c>
      <c r="C24" s="2"/>
    </row>
    <row r="25" spans="1:4" x14ac:dyDescent="0.25">
      <c r="A25" s="3" t="s">
        <v>32</v>
      </c>
      <c r="B25" s="2" t="s">
        <v>15</v>
      </c>
      <c r="C25" s="2"/>
    </row>
    <row r="26" spans="1:4" x14ac:dyDescent="0.25">
      <c r="A26" s="1"/>
    </row>
    <row r="27" spans="1:4" x14ac:dyDescent="0.25">
      <c r="A27" s="3" t="s">
        <v>19</v>
      </c>
      <c r="B27" s="2"/>
    </row>
    <row r="28" spans="1:4" x14ac:dyDescent="0.25">
      <c r="A28" s="9" t="s">
        <v>100</v>
      </c>
      <c r="B28" s="10"/>
      <c r="C28" s="2"/>
    </row>
    <row r="29" spans="1:4" x14ac:dyDescent="0.25">
      <c r="A29" s="3" t="s">
        <v>21</v>
      </c>
      <c r="B29" s="2" t="s">
        <v>20</v>
      </c>
      <c r="C29" s="2"/>
    </row>
    <row r="30" spans="1:4" x14ac:dyDescent="0.25">
      <c r="A30" s="3" t="s">
        <v>22</v>
      </c>
      <c r="B30" s="2" t="s">
        <v>11</v>
      </c>
      <c r="C30" s="2"/>
    </row>
    <row r="31" spans="1:4" x14ac:dyDescent="0.25">
      <c r="A31" s="3" t="s">
        <v>23</v>
      </c>
      <c r="B31" s="2" t="s">
        <v>12</v>
      </c>
      <c r="C31" s="2"/>
    </row>
    <row r="32" spans="1:4" x14ac:dyDescent="0.25">
      <c r="A32" s="3" t="s">
        <v>24</v>
      </c>
      <c r="B32" s="2" t="s">
        <v>13</v>
      </c>
      <c r="C32" s="2"/>
    </row>
    <row r="33" spans="1:7" x14ac:dyDescent="0.25">
      <c r="A33" s="3" t="s">
        <v>25</v>
      </c>
      <c r="B33" s="2" t="s">
        <v>14</v>
      </c>
      <c r="C33" s="2"/>
    </row>
    <row r="34" spans="1:7" x14ac:dyDescent="0.25">
      <c r="A34" s="3" t="s">
        <v>26</v>
      </c>
      <c r="B34" s="2" t="s">
        <v>15</v>
      </c>
      <c r="C34" s="2"/>
    </row>
    <row r="35" spans="1:7" x14ac:dyDescent="0.25">
      <c r="A35" s="1"/>
    </row>
    <row r="36" spans="1:7" x14ac:dyDescent="0.25">
      <c r="A36" s="3" t="s">
        <v>33</v>
      </c>
      <c r="B36" s="2"/>
    </row>
    <row r="37" spans="1:7" x14ac:dyDescent="0.25">
      <c r="A37" s="3" t="s">
        <v>41</v>
      </c>
      <c r="B37" s="2" t="s">
        <v>34</v>
      </c>
    </row>
    <row r="38" spans="1:7" x14ac:dyDescent="0.25">
      <c r="A38" s="3" t="s">
        <v>42</v>
      </c>
      <c r="B38" s="2" t="s">
        <v>35</v>
      </c>
    </row>
    <row r="39" spans="1:7" x14ac:dyDescent="0.25">
      <c r="A39" s="3" t="s">
        <v>43</v>
      </c>
      <c r="B39" s="2" t="s">
        <v>36</v>
      </c>
    </row>
    <row r="40" spans="1:7" x14ac:dyDescent="0.25">
      <c r="A40" s="3" t="s">
        <v>44</v>
      </c>
      <c r="B40" s="2" t="s">
        <v>37</v>
      </c>
      <c r="C40" t="s">
        <v>68</v>
      </c>
      <c r="D40">
        <f>IF(C40="","",_xlfn.XLOOKUP(C40,'CAT_RODAMIENTOS'!$B:$B,'CAT_RODAMIENTOS'!$C:$C))</f>
        <v>55</v>
      </c>
      <c r="E40">
        <f>IF(C40="","",_xlfn.XLOOKUP(C40,'CAT_RODAMIENTOS'!$B:$B,'CAT_RODAMIENTOS'!$D:$D))</f>
        <v>100</v>
      </c>
      <c r="F40">
        <f>IF(C40="","",_xlfn.XLOOKUP(C40,'CAT_RODAMIENTOS'!$B:$B,'CAT_RODAMIENTOS'!$E:$E))</f>
        <v>25</v>
      </c>
      <c r="G40">
        <f>D40-2*E40</f>
        <v>-145</v>
      </c>
    </row>
    <row r="41" spans="1:7" x14ac:dyDescent="0.25">
      <c r="A41" s="3" t="s">
        <v>45</v>
      </c>
      <c r="B41" s="2" t="s">
        <v>38</v>
      </c>
    </row>
    <row r="42" spans="1:7" x14ac:dyDescent="0.25">
      <c r="A42" s="3" t="s">
        <v>50</v>
      </c>
      <c r="B42" s="2" t="s">
        <v>39</v>
      </c>
    </row>
    <row r="44" spans="1:7" x14ac:dyDescent="0.25">
      <c r="A44" s="3" t="s">
        <v>40</v>
      </c>
      <c r="B44" s="2"/>
    </row>
    <row r="45" spans="1:7" x14ac:dyDescent="0.25">
      <c r="A45" s="3" t="s">
        <v>46</v>
      </c>
      <c r="B45" s="2" t="s">
        <v>34</v>
      </c>
    </row>
    <row r="46" spans="1:7" x14ac:dyDescent="0.25">
      <c r="A46" s="3" t="s">
        <v>47</v>
      </c>
      <c r="B46" s="2" t="s">
        <v>35</v>
      </c>
    </row>
    <row r="47" spans="1:7" x14ac:dyDescent="0.25">
      <c r="A47" s="3" t="s">
        <v>48</v>
      </c>
      <c r="B47" s="2" t="s">
        <v>36</v>
      </c>
    </row>
    <row r="48" spans="1:7" x14ac:dyDescent="0.25">
      <c r="A48" s="3" t="s">
        <v>49</v>
      </c>
      <c r="B48" s="2" t="s">
        <v>37</v>
      </c>
    </row>
    <row r="49" spans="1:2" x14ac:dyDescent="0.25">
      <c r="A49" s="3" t="s">
        <v>51</v>
      </c>
      <c r="B49" s="2" t="s">
        <v>39</v>
      </c>
    </row>
  </sheetData>
  <mergeCells count="3">
    <mergeCell ref="A1:B1"/>
    <mergeCell ref="A28:B28"/>
    <mergeCell ref="A19:B19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promptTitle="Material a Utilizar:" xr:uid="{DBE29408-D0EB-4C55-9056-927706F7C9C1}">
          <x14:formula1>
            <xm:f>LISTA_MATERIALES!$A$1:$A$7</xm:f>
          </x14:formula1>
          <xm:sqref>B3</xm:sqref>
        </x14:dataValidation>
        <x14:dataValidation type="list" allowBlank="1" showInputMessage="1" showErrorMessage="1" xr:uid="{D9943891-2A88-4CFF-8905-D5C9D5C7D9C8}">
          <x14:formula1>
            <xm:f>LISTA_EJE_TUBO!$A:$A</xm:f>
          </x14:formula1>
          <xm:sqref>C7</xm:sqref>
        </x14:dataValidation>
        <x14:dataValidation type="list" allowBlank="1" showInputMessage="1" showErrorMessage="1" xr:uid="{90BA2A29-166C-4C2E-9AD6-26AAA3A1D741}">
          <x14:formula1>
            <xm:f>'CAT_RODAMIENTOS'!$F$2:$F$23</xm:f>
          </x14:formula1>
          <xm:sqref>C40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41B9D-64E1-422E-B649-180F7B0F8BAB}">
  <dimension ref="A1:F23"/>
  <sheetViews>
    <sheetView workbookViewId="0">
      <selection activeCell="F7" sqref="F7"/>
    </sheetView>
  </sheetViews>
  <sheetFormatPr defaultColWidth="11.42578125" defaultRowHeight="15" x14ac:dyDescent="0.25"/>
  <cols>
    <col min="1" max="1" width="8" bestFit="1" customWidth="1"/>
    <col min="2" max="2" width="13.140625" bestFit="1" customWidth="1"/>
    <col min="3" max="3" width="8.7109375" bestFit="1" customWidth="1"/>
    <col min="4" max="4" width="10.5703125" bestFit="1" customWidth="1"/>
    <col min="5" max="5" width="8.7109375" bestFit="1" customWidth="1"/>
    <col min="6" max="6" width="17.42578125" bestFit="1" customWidth="1"/>
  </cols>
  <sheetData>
    <row r="1" spans="1:6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87</v>
      </c>
    </row>
    <row r="2" spans="1:6" x14ac:dyDescent="0.25">
      <c r="A2">
        <v>22208</v>
      </c>
      <c r="B2" t="s">
        <v>65</v>
      </c>
      <c r="C2">
        <v>40</v>
      </c>
      <c r="D2">
        <v>80</v>
      </c>
      <c r="E2">
        <v>23</v>
      </c>
      <c r="F2" t="str">
        <f>IF(VALUE(C2)&lt;=HojaPrincipal!$E$7,B2,"")</f>
        <v>SKF 22208 E</v>
      </c>
    </row>
    <row r="3" spans="1:6" x14ac:dyDescent="0.25">
      <c r="A3">
        <v>22209</v>
      </c>
      <c r="B3" t="s">
        <v>66</v>
      </c>
      <c r="C3">
        <v>45</v>
      </c>
      <c r="D3">
        <v>85</v>
      </c>
      <c r="E3">
        <v>23</v>
      </c>
      <c r="F3" t="str">
        <f>IF(VALUE(C3)&lt;=HojaPrincipal!$E$7,B3,"")</f>
        <v>SKF 22209 E</v>
      </c>
    </row>
    <row r="4" spans="1:6" x14ac:dyDescent="0.25">
      <c r="A4">
        <v>22210</v>
      </c>
      <c r="B4" t="s">
        <v>67</v>
      </c>
      <c r="C4">
        <v>50</v>
      </c>
      <c r="D4">
        <v>90</v>
      </c>
      <c r="E4">
        <v>23</v>
      </c>
      <c r="F4" t="str">
        <f>IF(VALUE(C4)&lt;=HojaPrincipal!$E$7,B4,"")</f>
        <v>SKF 22210 E</v>
      </c>
    </row>
    <row r="5" spans="1:6" x14ac:dyDescent="0.25">
      <c r="A5">
        <v>22211</v>
      </c>
      <c r="B5" t="s">
        <v>68</v>
      </c>
      <c r="C5">
        <v>55</v>
      </c>
      <c r="D5">
        <v>100</v>
      </c>
      <c r="E5">
        <v>25</v>
      </c>
      <c r="F5" t="str">
        <f>IF(VALUE(C5)&lt;=HojaPrincipal!$E$7,B5,"")</f>
        <v>SKF 22211 E</v>
      </c>
    </row>
    <row r="6" spans="1:6" x14ac:dyDescent="0.25">
      <c r="A6">
        <v>22212</v>
      </c>
      <c r="B6" t="s">
        <v>69</v>
      </c>
      <c r="C6">
        <v>60</v>
      </c>
      <c r="D6">
        <v>110</v>
      </c>
      <c r="E6">
        <v>28</v>
      </c>
      <c r="F6" t="str">
        <f>IF(VALUE(C6)&lt;=HojaPrincipal!$E$7,B6,"")</f>
        <v>SKF 22212 E</v>
      </c>
    </row>
    <row r="7" spans="1:6" x14ac:dyDescent="0.25">
      <c r="A7">
        <v>22213</v>
      </c>
      <c r="B7" t="s">
        <v>70</v>
      </c>
      <c r="C7">
        <v>65</v>
      </c>
      <c r="D7">
        <v>120</v>
      </c>
      <c r="E7">
        <v>31</v>
      </c>
      <c r="F7" t="str">
        <f>IF(VALUE(C7)&lt;=HojaPrincipal!$E$7,B7,"")</f>
        <v/>
      </c>
    </row>
    <row r="8" spans="1:6" x14ac:dyDescent="0.25">
      <c r="A8">
        <v>22214</v>
      </c>
      <c r="B8" t="s">
        <v>71</v>
      </c>
      <c r="C8">
        <v>70</v>
      </c>
      <c r="D8">
        <v>125</v>
      </c>
      <c r="E8">
        <v>31</v>
      </c>
      <c r="F8" t="str">
        <f>IF(VALUE(C8)&lt;=HojaPrincipal!$E$7,B8,"")</f>
        <v/>
      </c>
    </row>
    <row r="9" spans="1:6" x14ac:dyDescent="0.25">
      <c r="A9">
        <v>22215</v>
      </c>
      <c r="B9" t="s">
        <v>72</v>
      </c>
      <c r="C9">
        <v>75</v>
      </c>
      <c r="D9">
        <v>130</v>
      </c>
      <c r="E9">
        <v>31</v>
      </c>
      <c r="F9" t="str">
        <f>IF(VALUE(C9)&lt;=HojaPrincipal!$E$7,B9,"")</f>
        <v/>
      </c>
    </row>
    <row r="10" spans="1:6" x14ac:dyDescent="0.25">
      <c r="A10">
        <v>22216</v>
      </c>
      <c r="B10" t="s">
        <v>73</v>
      </c>
      <c r="C10">
        <v>80</v>
      </c>
      <c r="D10">
        <v>140</v>
      </c>
      <c r="E10">
        <v>33</v>
      </c>
      <c r="F10" t="str">
        <f>IF(VALUE(C10)&lt;=HojaPrincipal!$E$7,B10,"")</f>
        <v/>
      </c>
    </row>
    <row r="11" spans="1:6" x14ac:dyDescent="0.25">
      <c r="A11">
        <v>22217</v>
      </c>
      <c r="B11" t="s">
        <v>74</v>
      </c>
      <c r="C11">
        <v>85</v>
      </c>
      <c r="D11">
        <v>150</v>
      </c>
      <c r="E11">
        <v>36</v>
      </c>
      <c r="F11" t="str">
        <f>IF(VALUE(C11)&lt;=HojaPrincipal!$E$7,B11,"")</f>
        <v/>
      </c>
    </row>
    <row r="12" spans="1:6" x14ac:dyDescent="0.25">
      <c r="A12">
        <v>22218</v>
      </c>
      <c r="B12" t="s">
        <v>75</v>
      </c>
      <c r="C12">
        <v>90</v>
      </c>
      <c r="D12">
        <v>160</v>
      </c>
      <c r="E12">
        <v>40</v>
      </c>
      <c r="F12" t="str">
        <f>IF(VALUE(C12)&lt;=HojaPrincipal!$E$7,B12,"")</f>
        <v/>
      </c>
    </row>
    <row r="13" spans="1:6" x14ac:dyDescent="0.25">
      <c r="A13">
        <v>22220</v>
      </c>
      <c r="B13" t="s">
        <v>76</v>
      </c>
      <c r="C13">
        <v>100</v>
      </c>
      <c r="D13">
        <v>180</v>
      </c>
      <c r="E13">
        <v>46</v>
      </c>
      <c r="F13" t="str">
        <f>IF(VALUE(C13)&lt;=HojaPrincipal!$E$7,B13,"")</f>
        <v/>
      </c>
    </row>
    <row r="14" spans="1:6" x14ac:dyDescent="0.25">
      <c r="A14">
        <v>22310</v>
      </c>
      <c r="B14" t="s">
        <v>77</v>
      </c>
      <c r="C14">
        <v>50</v>
      </c>
      <c r="D14">
        <v>110</v>
      </c>
      <c r="E14">
        <v>40</v>
      </c>
      <c r="F14" t="str">
        <f>IF(VALUE(C14)&lt;=HojaPrincipal!$E$7,B14,"")</f>
        <v>SKF 22310 E</v>
      </c>
    </row>
    <row r="15" spans="1:6" x14ac:dyDescent="0.25">
      <c r="A15">
        <v>22311</v>
      </c>
      <c r="B15" t="s">
        <v>78</v>
      </c>
      <c r="C15">
        <v>55</v>
      </c>
      <c r="D15">
        <v>120</v>
      </c>
      <c r="E15">
        <v>43</v>
      </c>
      <c r="F15" t="str">
        <f>IF(VALUE(C15)&lt;=HojaPrincipal!$E$7,B15,"")</f>
        <v>SKF 22311 E</v>
      </c>
    </row>
    <row r="16" spans="1:6" x14ac:dyDescent="0.25">
      <c r="A16">
        <v>22312</v>
      </c>
      <c r="B16" t="s">
        <v>79</v>
      </c>
      <c r="C16">
        <v>60</v>
      </c>
      <c r="D16">
        <v>130</v>
      </c>
      <c r="E16">
        <v>46</v>
      </c>
      <c r="F16" t="str">
        <f>IF(VALUE(C16)&lt;=HojaPrincipal!$E$7,B16,"")</f>
        <v>SKF 22312 E</v>
      </c>
    </row>
    <row r="17" spans="1:6" x14ac:dyDescent="0.25">
      <c r="A17">
        <v>22313</v>
      </c>
      <c r="B17" t="s">
        <v>80</v>
      </c>
      <c r="C17">
        <v>65</v>
      </c>
      <c r="D17">
        <v>140</v>
      </c>
      <c r="E17">
        <v>48</v>
      </c>
      <c r="F17" t="str">
        <f>IF(VALUE(C17)&lt;=HojaPrincipal!$E$7,B17,"")</f>
        <v/>
      </c>
    </row>
    <row r="18" spans="1:6" x14ac:dyDescent="0.25">
      <c r="A18">
        <v>22314</v>
      </c>
      <c r="B18" t="s">
        <v>81</v>
      </c>
      <c r="C18">
        <v>70</v>
      </c>
      <c r="D18">
        <v>150</v>
      </c>
      <c r="E18">
        <v>51</v>
      </c>
      <c r="F18" t="str">
        <f>IF(VALUE(C18)&lt;=HojaPrincipal!$E$7,B18,"")</f>
        <v/>
      </c>
    </row>
    <row r="19" spans="1:6" x14ac:dyDescent="0.25">
      <c r="A19">
        <v>22315</v>
      </c>
      <c r="B19" t="s">
        <v>82</v>
      </c>
      <c r="C19">
        <v>75</v>
      </c>
      <c r="D19">
        <v>160</v>
      </c>
      <c r="E19">
        <v>55</v>
      </c>
      <c r="F19" t="str">
        <f>IF(VALUE(C19)&lt;=HojaPrincipal!$E$7,B19,"")</f>
        <v/>
      </c>
    </row>
    <row r="20" spans="1:6" x14ac:dyDescent="0.25">
      <c r="A20">
        <v>22316</v>
      </c>
      <c r="B20" t="s">
        <v>83</v>
      </c>
      <c r="C20">
        <v>80</v>
      </c>
      <c r="D20">
        <v>170</v>
      </c>
      <c r="E20">
        <v>58</v>
      </c>
      <c r="F20" t="str">
        <f>IF(VALUE(C20)&lt;=HojaPrincipal!$E$7,B20,"")</f>
        <v/>
      </c>
    </row>
    <row r="21" spans="1:6" x14ac:dyDescent="0.25">
      <c r="A21">
        <v>22317</v>
      </c>
      <c r="B21" t="s">
        <v>84</v>
      </c>
      <c r="C21">
        <v>85</v>
      </c>
      <c r="D21">
        <v>180</v>
      </c>
      <c r="E21">
        <v>60</v>
      </c>
      <c r="F21" t="str">
        <f>IF(VALUE(C21)&lt;=HojaPrincipal!$E$7,B21,"")</f>
        <v/>
      </c>
    </row>
    <row r="22" spans="1:6" x14ac:dyDescent="0.25">
      <c r="A22">
        <v>22318</v>
      </c>
      <c r="B22" t="s">
        <v>85</v>
      </c>
      <c r="C22">
        <v>90</v>
      </c>
      <c r="D22">
        <v>190</v>
      </c>
      <c r="E22">
        <v>64</v>
      </c>
      <c r="F22" t="str">
        <f>IF(VALUE(C22)&lt;=HojaPrincipal!$E$7,B22,"")</f>
        <v/>
      </c>
    </row>
    <row r="23" spans="1:6" x14ac:dyDescent="0.25">
      <c r="A23">
        <v>22320</v>
      </c>
      <c r="B23" t="s">
        <v>86</v>
      </c>
      <c r="C23">
        <v>100</v>
      </c>
      <c r="D23">
        <v>215</v>
      </c>
      <c r="E23">
        <v>73</v>
      </c>
      <c r="F23" t="str">
        <f>IF(VALUE(C23)&lt;=HojaPrincipal!$E$7,B23,"")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1B3A-0782-4E11-BB7B-ED1ED434AF64}">
  <dimension ref="A1:A53"/>
  <sheetViews>
    <sheetView topLeftCell="A18" workbookViewId="0">
      <selection sqref="A1:A53"/>
    </sheetView>
  </sheetViews>
  <sheetFormatPr defaultColWidth="11.42578125" defaultRowHeight="15" x14ac:dyDescent="0.25"/>
  <sheetData>
    <row r="1" spans="1:1" x14ac:dyDescent="0.25">
      <c r="A1">
        <v>17.2</v>
      </c>
    </row>
    <row r="2" spans="1:1" x14ac:dyDescent="0.25">
      <c r="A2">
        <v>21.3</v>
      </c>
    </row>
    <row r="3" spans="1:1" x14ac:dyDescent="0.25">
      <c r="A3">
        <v>25</v>
      </c>
    </row>
    <row r="4" spans="1:1" x14ac:dyDescent="0.25">
      <c r="A4">
        <v>26.9</v>
      </c>
    </row>
    <row r="5" spans="1:1" x14ac:dyDescent="0.25">
      <c r="A5">
        <v>28</v>
      </c>
    </row>
    <row r="6" spans="1:1" x14ac:dyDescent="0.25">
      <c r="A6">
        <v>30</v>
      </c>
    </row>
    <row r="7" spans="1:1" x14ac:dyDescent="0.25">
      <c r="A7">
        <v>32</v>
      </c>
    </row>
    <row r="8" spans="1:1" x14ac:dyDescent="0.25">
      <c r="A8">
        <v>33.700000000000003</v>
      </c>
    </row>
    <row r="9" spans="1:1" x14ac:dyDescent="0.25">
      <c r="A9">
        <v>35</v>
      </c>
    </row>
    <row r="10" spans="1:1" x14ac:dyDescent="0.25">
      <c r="A10">
        <v>37.5</v>
      </c>
    </row>
    <row r="11" spans="1:1" x14ac:dyDescent="0.25">
      <c r="A11">
        <v>38</v>
      </c>
    </row>
    <row r="12" spans="1:1" x14ac:dyDescent="0.25">
      <c r="A12">
        <v>39</v>
      </c>
    </row>
    <row r="13" spans="1:1" x14ac:dyDescent="0.25">
      <c r="A13">
        <v>40</v>
      </c>
    </row>
    <row r="14" spans="1:1" x14ac:dyDescent="0.25">
      <c r="A14">
        <v>41.5</v>
      </c>
    </row>
    <row r="15" spans="1:1" x14ac:dyDescent="0.25">
      <c r="A15">
        <v>42</v>
      </c>
    </row>
    <row r="16" spans="1:1" x14ac:dyDescent="0.25">
      <c r="A16">
        <v>42.4</v>
      </c>
    </row>
    <row r="17" spans="1:1" x14ac:dyDescent="0.25">
      <c r="A17">
        <v>44.5</v>
      </c>
    </row>
    <row r="18" spans="1:1" x14ac:dyDescent="0.25">
      <c r="A18">
        <v>45</v>
      </c>
    </row>
    <row r="19" spans="1:1" x14ac:dyDescent="0.25">
      <c r="A19">
        <v>48</v>
      </c>
    </row>
    <row r="20" spans="1:1" x14ac:dyDescent="0.25">
      <c r="A20">
        <v>48.3</v>
      </c>
    </row>
    <row r="21" spans="1:1" x14ac:dyDescent="0.25">
      <c r="A21">
        <v>48.6</v>
      </c>
    </row>
    <row r="22" spans="1:1" x14ac:dyDescent="0.25">
      <c r="A22">
        <v>49.4</v>
      </c>
    </row>
    <row r="23" spans="1:1" x14ac:dyDescent="0.25">
      <c r="A23">
        <v>50</v>
      </c>
    </row>
    <row r="24" spans="1:1" x14ac:dyDescent="0.25">
      <c r="A24">
        <v>51</v>
      </c>
    </row>
    <row r="25" spans="1:1" x14ac:dyDescent="0.25">
      <c r="A25">
        <v>52</v>
      </c>
    </row>
    <row r="26" spans="1:1" x14ac:dyDescent="0.25">
      <c r="A26">
        <v>55</v>
      </c>
    </row>
    <row r="27" spans="1:1" x14ac:dyDescent="0.25">
      <c r="A27">
        <v>56</v>
      </c>
    </row>
    <row r="28" spans="1:1" x14ac:dyDescent="0.25">
      <c r="A28">
        <v>57</v>
      </c>
    </row>
    <row r="29" spans="1:1" x14ac:dyDescent="0.25">
      <c r="A29">
        <v>58</v>
      </c>
    </row>
    <row r="30" spans="1:1" x14ac:dyDescent="0.25">
      <c r="A30">
        <v>60</v>
      </c>
    </row>
    <row r="31" spans="1:1" x14ac:dyDescent="0.25">
      <c r="A31">
        <v>60.3</v>
      </c>
    </row>
    <row r="32" spans="1:1" x14ac:dyDescent="0.25">
      <c r="A32">
        <v>61.5</v>
      </c>
    </row>
    <row r="33" spans="1:1" x14ac:dyDescent="0.25">
      <c r="A33">
        <v>62</v>
      </c>
    </row>
    <row r="34" spans="1:1" x14ac:dyDescent="0.25">
      <c r="A34">
        <v>62.2</v>
      </c>
    </row>
    <row r="35" spans="1:1" x14ac:dyDescent="0.25">
      <c r="A35">
        <v>63</v>
      </c>
    </row>
    <row r="36" spans="1:1" x14ac:dyDescent="0.25">
      <c r="A36">
        <v>63.5</v>
      </c>
    </row>
    <row r="37" spans="1:1" x14ac:dyDescent="0.25">
      <c r="A37">
        <v>66</v>
      </c>
    </row>
    <row r="38" spans="1:1" x14ac:dyDescent="0.25">
      <c r="A38">
        <v>68</v>
      </c>
    </row>
    <row r="39" spans="1:1" x14ac:dyDescent="0.25">
      <c r="A39">
        <v>70</v>
      </c>
    </row>
    <row r="40" spans="1:1" x14ac:dyDescent="0.25">
      <c r="A40">
        <v>71.5</v>
      </c>
    </row>
    <row r="41" spans="1:1" x14ac:dyDescent="0.25">
      <c r="A41">
        <v>72</v>
      </c>
    </row>
    <row r="42" spans="1:1" x14ac:dyDescent="0.25">
      <c r="A42">
        <v>75.5</v>
      </c>
    </row>
    <row r="43" spans="1:1" x14ac:dyDescent="0.25">
      <c r="A43">
        <v>76</v>
      </c>
    </row>
    <row r="44" spans="1:1" x14ac:dyDescent="0.25">
      <c r="A44">
        <v>76.099999999999994</v>
      </c>
    </row>
    <row r="45" spans="1:1" x14ac:dyDescent="0.25">
      <c r="A45">
        <v>80</v>
      </c>
    </row>
    <row r="46" spans="1:1" x14ac:dyDescent="0.25">
      <c r="A46">
        <v>82.5</v>
      </c>
    </row>
    <row r="47" spans="1:1" x14ac:dyDescent="0.25">
      <c r="A47">
        <v>83</v>
      </c>
    </row>
    <row r="48" spans="1:1" x14ac:dyDescent="0.25">
      <c r="A48">
        <v>84</v>
      </c>
    </row>
    <row r="49" spans="1:1" x14ac:dyDescent="0.25">
      <c r="A49">
        <v>88.9</v>
      </c>
    </row>
    <row r="50" spans="1:1" x14ac:dyDescent="0.25">
      <c r="A50">
        <v>89</v>
      </c>
    </row>
    <row r="51" spans="1:1" x14ac:dyDescent="0.25">
      <c r="A51">
        <v>90</v>
      </c>
    </row>
    <row r="52" spans="1:1" x14ac:dyDescent="0.25">
      <c r="A52">
        <v>95</v>
      </c>
    </row>
    <row r="53" spans="1:1" x14ac:dyDescent="0.25">
      <c r="A53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D8615-06E0-4715-BBE3-DE0A583024FF}">
  <dimension ref="A1:A7"/>
  <sheetViews>
    <sheetView workbookViewId="0">
      <selection activeCell="A8" sqref="A1:A8"/>
    </sheetView>
  </sheetViews>
  <sheetFormatPr defaultColWidth="11.42578125" defaultRowHeight="15" x14ac:dyDescent="0.25"/>
  <sheetData>
    <row r="1" spans="1:1" x14ac:dyDescent="0.25">
      <c r="A1" t="s">
        <v>53</v>
      </c>
    </row>
    <row r="2" spans="1:1" x14ac:dyDescent="0.25">
      <c r="A2" t="s">
        <v>54</v>
      </c>
    </row>
    <row r="3" spans="1:1" x14ac:dyDescent="0.25">
      <c r="A3" t="s">
        <v>55</v>
      </c>
    </row>
    <row r="4" spans="1:1" x14ac:dyDescent="0.25">
      <c r="A4" t="s">
        <v>56</v>
      </c>
    </row>
    <row r="5" spans="1:1" x14ac:dyDescent="0.25">
      <c r="A5" t="s">
        <v>57</v>
      </c>
    </row>
    <row r="6" spans="1:1" x14ac:dyDescent="0.25">
      <c r="A6" t="s">
        <v>58</v>
      </c>
    </row>
    <row r="7" spans="1:1" x14ac:dyDescent="0.25">
      <c r="A7" t="s">
        <v>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C180FD-FBA2-4C71-8779-986A5E69C0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HojaPrincipal</vt:lpstr>
      <vt:lpstr>CAT_RODAMIENTOS</vt:lpstr>
      <vt:lpstr>LISTA_EJE_TUBO</vt:lpstr>
      <vt:lpstr>LISTA_MATERIALES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 4</dc:creator>
  <cp:lastModifiedBy>Eduardo Angel Sonsona Rosinach</cp:lastModifiedBy>
  <cp:lastPrinted>2025-12-19T10:20:47Z</cp:lastPrinted>
  <dcterms:created xsi:type="dcterms:W3CDTF">2025-12-19T09:56:39Z</dcterms:created>
  <dcterms:modified xsi:type="dcterms:W3CDTF">2025-12-21T16:15:06Z</dcterms:modified>
</cp:coreProperties>
</file>