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CE12450-047E-4F9D-A4EB-10C9E6D1D49C}" xr6:coauthVersionLast="47" xr6:coauthVersionMax="47" xr10:uidLastSave="{00000000-0000-0000-0000-000000000000}"/>
  <bookViews>
    <workbookView xWindow="-120" yWindow="-120" windowWidth="29040" windowHeight="15720" activeTab="1" xr2:uid="{11BE822D-5630-47F4-9A01-D9EAE77E40DB}"/>
  </bookViews>
  <sheets>
    <sheet name="ENTRADA_DATOS" sheetId="7" r:id="rId1"/>
    <sheet name="HojaPrincipal" sheetId="1" r:id="rId2"/>
    <sheet name="CAT_RODAMIENTOS" sheetId="5" r:id="rId3"/>
    <sheet name="LISTA_EJE_TUBO" sheetId="6" r:id="rId4"/>
    <sheet name="LISTA_MATERIALES" sheetId="2" r:id="rId5"/>
    <sheet name="DIAMETROS Y PASOS" sheetId="8" r:id="rId6"/>
  </sheets>
  <definedNames>
    <definedName name="DatosExternos_1" localSheetId="2" hidden="1">'CAT_RODAMIENTOS'!$A$1:$E$23</definedName>
    <definedName name="ExternalData_1" localSheetId="3" hidden="1">LISTA_EJE_TUBO!$A$1:$B$82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F7" i="5"/>
  <c r="F4" i="1"/>
  <c r="C12" i="1"/>
  <c r="C11" i="1"/>
  <c r="E4" i="1"/>
  <c r="D8" i="1" s="1"/>
  <c r="C7" i="1"/>
  <c r="C13" i="1"/>
  <c r="C10" i="1"/>
  <c r="C4" i="1"/>
  <c r="C9" i="1"/>
  <c r="C82" i="6"/>
  <c r="E82" i="6" s="1"/>
  <c r="C81" i="6"/>
  <c r="E81" i="6" s="1"/>
  <c r="C80" i="6"/>
  <c r="E80" i="6" s="1"/>
  <c r="C79" i="6"/>
  <c r="E79" i="6" s="1"/>
  <c r="C78" i="6"/>
  <c r="E78" i="6" s="1"/>
  <c r="C77" i="6"/>
  <c r="E77" i="6" s="1"/>
  <c r="C76" i="6"/>
  <c r="E76" i="6" s="1"/>
  <c r="C75" i="6"/>
  <c r="E75" i="6" s="1"/>
  <c r="E74" i="6"/>
  <c r="C74" i="6"/>
  <c r="C73" i="6"/>
  <c r="E73" i="6" s="1"/>
  <c r="E72" i="6"/>
  <c r="C72" i="6"/>
  <c r="E71" i="6"/>
  <c r="C71" i="6"/>
  <c r="E70" i="6"/>
  <c r="C70" i="6"/>
  <c r="E69" i="6"/>
  <c r="C69" i="6"/>
  <c r="E68" i="6"/>
  <c r="C68" i="6"/>
  <c r="E67" i="6"/>
  <c r="C67" i="6"/>
  <c r="E66" i="6"/>
  <c r="C66" i="6"/>
  <c r="E65" i="6"/>
  <c r="C65" i="6"/>
  <c r="E64" i="6"/>
  <c r="C64" i="6"/>
  <c r="E63" i="6"/>
  <c r="C63" i="6"/>
  <c r="E62" i="6"/>
  <c r="C62" i="6"/>
  <c r="E61" i="6"/>
  <c r="C61" i="6"/>
  <c r="E60" i="6"/>
  <c r="C60" i="6"/>
  <c r="E59" i="6"/>
  <c r="C59" i="6"/>
  <c r="E58" i="6"/>
  <c r="C58" i="6"/>
  <c r="E57" i="6"/>
  <c r="C57" i="6"/>
  <c r="E56" i="6"/>
  <c r="C56" i="6"/>
  <c r="E55" i="6"/>
  <c r="C55" i="6"/>
  <c r="E54" i="6"/>
  <c r="C54" i="6"/>
  <c r="E53" i="6"/>
  <c r="C53" i="6"/>
  <c r="E52" i="6"/>
  <c r="C52" i="6"/>
  <c r="E51" i="6"/>
  <c r="C51" i="6"/>
  <c r="E50" i="6"/>
  <c r="C50" i="6"/>
  <c r="E49" i="6"/>
  <c r="C49" i="6"/>
  <c r="E48" i="6"/>
  <c r="C48" i="6"/>
  <c r="E47" i="6"/>
  <c r="C47" i="6"/>
  <c r="E46" i="6"/>
  <c r="C46" i="6"/>
  <c r="E45" i="6"/>
  <c r="C45" i="6"/>
  <c r="E44" i="6"/>
  <c r="C44" i="6"/>
  <c r="E43" i="6"/>
  <c r="C43" i="6"/>
  <c r="E42" i="6"/>
  <c r="C42" i="6"/>
  <c r="E41" i="6"/>
  <c r="C41" i="6"/>
  <c r="E40" i="6"/>
  <c r="C40" i="6"/>
  <c r="E39" i="6"/>
  <c r="C39" i="6"/>
  <c r="E38" i="6"/>
  <c r="C38" i="6"/>
  <c r="E37" i="6"/>
  <c r="C37" i="6"/>
  <c r="E36" i="6"/>
  <c r="C36" i="6"/>
  <c r="E35" i="6"/>
  <c r="C35" i="6"/>
  <c r="E34" i="6"/>
  <c r="C34" i="6"/>
  <c r="E33" i="6"/>
  <c r="C33" i="6"/>
  <c r="E32" i="6"/>
  <c r="C32" i="6"/>
  <c r="E31" i="6"/>
  <c r="C31" i="6"/>
  <c r="E30" i="6"/>
  <c r="C30" i="6"/>
  <c r="E29" i="6"/>
  <c r="C29" i="6"/>
  <c r="E28" i="6"/>
  <c r="C28" i="6"/>
  <c r="E27" i="6"/>
  <c r="C27" i="6"/>
  <c r="E26" i="6"/>
  <c r="C26" i="6"/>
  <c r="E25" i="6"/>
  <c r="C25" i="6"/>
  <c r="E24" i="6"/>
  <c r="C24" i="6"/>
  <c r="E23" i="6"/>
  <c r="C23" i="6"/>
  <c r="E22" i="6"/>
  <c r="C22" i="6"/>
  <c r="E21" i="6"/>
  <c r="C21" i="6"/>
  <c r="E20" i="6"/>
  <c r="C20" i="6"/>
  <c r="E19" i="6"/>
  <c r="C19" i="6"/>
  <c r="E18" i="6"/>
  <c r="C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E4" i="6"/>
  <c r="C4" i="6"/>
  <c r="E3" i="6"/>
  <c r="C3" i="6"/>
  <c r="E2" i="6"/>
  <c r="C2" i="6"/>
  <c r="F37" i="1"/>
  <c r="E37" i="1"/>
  <c r="G37" i="1" s="1"/>
  <c r="D37" i="1"/>
  <c r="F9" i="1"/>
  <c r="D7" i="1"/>
  <c r="D6" i="1"/>
  <c r="C6" i="1" s="1"/>
  <c r="D5" i="1"/>
  <c r="C5" i="1" s="1"/>
  <c r="F13" i="5"/>
  <c r="D7" i="6" l="1"/>
  <c r="F5" i="5"/>
  <c r="F21" i="5"/>
  <c r="D3" i="6"/>
  <c r="D11" i="6"/>
  <c r="F22" i="5"/>
  <c r="F23" i="5"/>
  <c r="F19" i="5"/>
  <c r="F15" i="5"/>
  <c r="F11" i="5"/>
  <c r="F3" i="5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50" i="6"/>
  <c r="D48" i="6"/>
  <c r="D46" i="6"/>
  <c r="D44" i="6"/>
  <c r="D42" i="6"/>
  <c r="D40" i="6"/>
  <c r="D38" i="6"/>
  <c r="D36" i="6"/>
  <c r="D34" i="6"/>
  <c r="D32" i="6"/>
  <c r="D30" i="6"/>
  <c r="D28" i="6"/>
  <c r="D26" i="6"/>
  <c r="D24" i="6"/>
  <c r="D22" i="6"/>
  <c r="D20" i="6"/>
  <c r="D18" i="6"/>
  <c r="D16" i="6"/>
  <c r="D14" i="6"/>
  <c r="D12" i="6"/>
  <c r="D10" i="6"/>
  <c r="D8" i="6"/>
  <c r="D6" i="6"/>
  <c r="D4" i="6"/>
  <c r="D2" i="6"/>
  <c r="D81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9" i="6"/>
  <c r="D37" i="6"/>
  <c r="D35" i="6"/>
  <c r="D33" i="6"/>
  <c r="D31" i="6"/>
  <c r="D29" i="6"/>
  <c r="D27" i="6"/>
  <c r="D25" i="6"/>
  <c r="D23" i="6"/>
  <c r="D21" i="6"/>
  <c r="D19" i="6"/>
  <c r="D17" i="6"/>
  <c r="D15" i="6"/>
  <c r="D13" i="6"/>
  <c r="F9" i="5"/>
  <c r="F17" i="5"/>
  <c r="D5" i="6"/>
  <c r="D9" i="6"/>
  <c r="F2" i="5"/>
  <c r="F4" i="5"/>
  <c r="F6" i="5"/>
  <c r="F8" i="5"/>
  <c r="F10" i="5"/>
  <c r="F12" i="5"/>
  <c r="F14" i="5"/>
  <c r="F16" i="5"/>
  <c r="F18" i="5"/>
  <c r="F20" i="5"/>
  <c r="G9" i="1" l="1"/>
  <c r="D17" i="1" s="1"/>
  <c r="F23" i="6" s="1"/>
  <c r="F2" i="6" l="1"/>
  <c r="F44" i="6"/>
  <c r="F76" i="6"/>
  <c r="F25" i="6"/>
  <c r="F57" i="6"/>
  <c r="F59" i="6"/>
  <c r="F17" i="6"/>
  <c r="F64" i="6"/>
  <c r="F19" i="6"/>
  <c r="F15" i="6"/>
  <c r="F70" i="6"/>
  <c r="F6" i="6"/>
  <c r="F66" i="6"/>
  <c r="F8" i="6"/>
  <c r="F40" i="6"/>
  <c r="F21" i="6"/>
  <c r="F42" i="6"/>
  <c r="F55" i="6"/>
  <c r="F46" i="6"/>
  <c r="F78" i="6"/>
  <c r="F16" i="6"/>
  <c r="F80" i="6"/>
  <c r="F61" i="6"/>
  <c r="F50" i="6"/>
  <c r="F31" i="6"/>
  <c r="F52" i="6"/>
  <c r="C19" i="1"/>
  <c r="F33" i="6"/>
  <c r="F65" i="6"/>
  <c r="F22" i="6"/>
  <c r="F54" i="6"/>
  <c r="F11" i="6"/>
  <c r="F35" i="6"/>
  <c r="F67" i="6"/>
  <c r="F24" i="6"/>
  <c r="F56" i="6"/>
  <c r="F9" i="6"/>
  <c r="F37" i="6"/>
  <c r="F69" i="6"/>
  <c r="F32" i="6"/>
  <c r="F51" i="6"/>
  <c r="F38" i="6"/>
  <c r="F12" i="6"/>
  <c r="F10" i="6"/>
  <c r="F36" i="6"/>
  <c r="F49" i="6"/>
  <c r="F72" i="6"/>
  <c r="F53" i="6"/>
  <c r="F4" i="6"/>
  <c r="F74" i="6"/>
  <c r="F14" i="6"/>
  <c r="F27" i="6"/>
  <c r="F48" i="6"/>
  <c r="F29" i="6"/>
  <c r="F18" i="6"/>
  <c r="F82" i="6"/>
  <c r="F63" i="6"/>
  <c r="F20" i="6"/>
  <c r="F26" i="6"/>
  <c r="F58" i="6"/>
  <c r="F7" i="6"/>
  <c r="F39" i="6"/>
  <c r="F71" i="6"/>
  <c r="F28" i="6"/>
  <c r="F60" i="6"/>
  <c r="F5" i="6"/>
  <c r="F41" i="6"/>
  <c r="F73" i="6"/>
  <c r="F30" i="6"/>
  <c r="F62" i="6"/>
  <c r="F3" i="6"/>
  <c r="F43" i="6"/>
  <c r="F75" i="6"/>
  <c r="F45" i="6"/>
  <c r="F77" i="6"/>
  <c r="F47" i="6"/>
  <c r="F79" i="6"/>
  <c r="F13" i="6"/>
  <c r="F68" i="6"/>
  <c r="F81" i="6"/>
  <c r="C20" i="1"/>
  <c r="C18" i="1"/>
  <c r="F3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340827-2EF5-45E7-BABF-8048ABE93365}" keepAlive="1" name="Consulta - CAT_RODAMIENTOS" description="Conexión a la consulta 'CAT_RODAMIENTOS' en el libro." type="5" refreshedVersion="8" background="1" saveData="1">
    <dbPr connection="Provider=Microsoft.Mashup.OleDb.1;Data Source=$Workbook$;Location=CAT_RODAMIENTOS;Extended Properties=&quot;&quot;" command="SELECT * FROM [CAT_RODAMIENTOS]"/>
  </connection>
  <connection id="2" xr16:uid="{F23AA649-B28C-49CD-989E-0C154BCDBFAB}" keepAlive="1" name="Query - Lissta tubos" description="Connection to the 'Lissta tubos' query in the workbook." type="5" refreshedVersion="0" background="1">
    <dbPr connection="Provider=Microsoft.Mashup.OleDb.1;Data Source=$Workbook$;Location=&quot;Lissta tubos&quot;;Extended Properties=&quot;&quot;" command="SELECT * FROM [Lissta tubos]"/>
  </connection>
  <connection id="3" xr16:uid="{7A5556F6-51A9-4C72-90B2-55499FB641F3}" keepAlive="1" name="Query - Lissta tubos (2)" description="Connection to the 'Lissta tubos (2)' query in the workbook." type="5" refreshedVersion="8" background="1" saveData="1">
    <dbPr connection="Provider=Microsoft.Mashup.OleDb.1;Data Source=$Workbook$;Location=&quot;Lissta tubos (2)&quot;;Extended Properties=&quot;&quot;" command="SELECT * FROM [Lissta tubos (2)]"/>
  </connection>
</connections>
</file>

<file path=xl/sharedStrings.xml><?xml version="1.0" encoding="utf-8"?>
<sst xmlns="http://schemas.openxmlformats.org/spreadsheetml/2006/main" count="159" uniqueCount="143">
  <si>
    <t>LISTADO GENERAL SINFÍN</t>
  </si>
  <si>
    <t>PARTE 001: TORNILLO</t>
  </si>
  <si>
    <t>001.001</t>
  </si>
  <si>
    <t>Mangon Accionamiento</t>
  </si>
  <si>
    <t>Mangon Conducido</t>
  </si>
  <si>
    <t>Mangon de Empalme</t>
  </si>
  <si>
    <t>001.002</t>
  </si>
  <si>
    <t>001.003</t>
  </si>
  <si>
    <t>001.004</t>
  </si>
  <si>
    <t>001.005</t>
  </si>
  <si>
    <t>Testeros</t>
  </si>
  <si>
    <t>Ventana Inspeccion</t>
  </si>
  <si>
    <t>Chapa sujeccion mangon intermedio</t>
  </si>
  <si>
    <t>Boca Entrada</t>
  </si>
  <si>
    <t>Boca Salida</t>
  </si>
  <si>
    <t>001.006</t>
  </si>
  <si>
    <t>Tornilleria</t>
  </si>
  <si>
    <t>PARTE 002A: CAMISA TUBO ø</t>
  </si>
  <si>
    <t>PARTE 002B: CAMISA ARTESA</t>
  </si>
  <si>
    <t>Chapa Artesa</t>
  </si>
  <si>
    <t>002B.001</t>
  </si>
  <si>
    <t>002B.002</t>
  </si>
  <si>
    <t>002B.003</t>
  </si>
  <si>
    <t>002B.004</t>
  </si>
  <si>
    <t>002B.005</t>
  </si>
  <si>
    <t>002B.006</t>
  </si>
  <si>
    <t>002A.001</t>
  </si>
  <si>
    <t>002A.002</t>
  </si>
  <si>
    <t>002A.003</t>
  </si>
  <si>
    <t>002A.004</t>
  </si>
  <si>
    <t>002A.005</t>
  </si>
  <si>
    <t>002A.006</t>
  </si>
  <si>
    <t>PARTE 003:  PARTE CONDUCCION</t>
  </si>
  <si>
    <t>Brida</t>
  </si>
  <si>
    <t>Prensaestopas</t>
  </si>
  <si>
    <t>Bancada Soporte</t>
  </si>
  <si>
    <t>Cjto Rodamiento</t>
  </si>
  <si>
    <t>Cjto Motor-Reductor</t>
  </si>
  <si>
    <t>Sellado</t>
  </si>
  <si>
    <t>PARTE 004:  PARTE CONDUCIDO</t>
  </si>
  <si>
    <t>003.001</t>
  </si>
  <si>
    <t>003.002</t>
  </si>
  <si>
    <t>003.003</t>
  </si>
  <si>
    <t>003.004</t>
  </si>
  <si>
    <t>003.005</t>
  </si>
  <si>
    <t>004.001</t>
  </si>
  <si>
    <t>004.002</t>
  </si>
  <si>
    <t>004.003</t>
  </si>
  <si>
    <t>004.004</t>
  </si>
  <si>
    <t>003.006</t>
  </si>
  <si>
    <t>004.005</t>
  </si>
  <si>
    <t>S275JR</t>
  </si>
  <si>
    <t>S355J2+N</t>
  </si>
  <si>
    <t>HARDOX 400</t>
  </si>
  <si>
    <t>HARDOX 450</t>
  </si>
  <si>
    <t>HARDOX 500</t>
  </si>
  <si>
    <t>AISI 304</t>
  </si>
  <si>
    <t>AISI 316</t>
  </si>
  <si>
    <t>Serie</t>
  </si>
  <si>
    <t>Referencia</t>
  </si>
  <si>
    <t>d_mm</t>
  </si>
  <si>
    <t>D_mm.1</t>
  </si>
  <si>
    <t>B_mm</t>
  </si>
  <si>
    <t>SKF 22208 E</t>
  </si>
  <si>
    <t>SKF 22209 E</t>
  </si>
  <si>
    <t>SKF 22210 E</t>
  </si>
  <si>
    <t>SKF 22211 E</t>
  </si>
  <si>
    <t>SKF 22212 E</t>
  </si>
  <si>
    <t>SKF 22213 E</t>
  </si>
  <si>
    <t>SKF 22214 E</t>
  </si>
  <si>
    <t>SKF 22215 E</t>
  </si>
  <si>
    <t>SKF 22216 E</t>
  </si>
  <si>
    <t>SKF 22217 E</t>
  </si>
  <si>
    <t>SKF 22218 E</t>
  </si>
  <si>
    <t>SKF 22220 E</t>
  </si>
  <si>
    <t>SKF 22310 E</t>
  </si>
  <si>
    <t>SKF 22311 E</t>
  </si>
  <si>
    <t>SKF 22312 E</t>
  </si>
  <si>
    <t>SKF 22313 E</t>
  </si>
  <si>
    <t>SKF 22314 E</t>
  </si>
  <si>
    <t>SKF 22315 E</t>
  </si>
  <si>
    <t>SKF 22316 E</t>
  </si>
  <si>
    <t>SKF 22317 E</t>
  </si>
  <si>
    <t>SKF 22318 E</t>
  </si>
  <si>
    <t>SKF 22320 E</t>
  </si>
  <si>
    <t>Valido_para_EJE</t>
  </si>
  <si>
    <t>Número de Tornillos para atornillar mangones y tubo</t>
  </si>
  <si>
    <t>Espiras: Cantidad</t>
  </si>
  <si>
    <t>Diametro Exterior Espiras</t>
  </si>
  <si>
    <t>Diametro Interior Espiras</t>
  </si>
  <si>
    <t>Paso 01 espiras</t>
  </si>
  <si>
    <t>Paso 02 espiras</t>
  </si>
  <si>
    <t>Eje Tubo / Longitud Tubo</t>
  </si>
  <si>
    <t>Distancia entre Testeros</t>
  </si>
  <si>
    <t>D_exterior_mm</t>
  </si>
  <si>
    <t>Espesor_mm</t>
  </si>
  <si>
    <t>d_interior_mm</t>
  </si>
  <si>
    <t>Valores filtrados</t>
  </si>
  <si>
    <t>Plano Testeros</t>
  </si>
  <si>
    <t>Tubo ø exterior / ø interior</t>
  </si>
  <si>
    <t>d_int_VALIDO</t>
  </si>
  <si>
    <t>Cjto. sujeccion mangon intermedio</t>
  </si>
  <si>
    <t>Espesor Chapa</t>
  </si>
  <si>
    <t>TORNILLO SINFÍN</t>
  </si>
  <si>
    <t>FORMA DE LA CAMISA:</t>
  </si>
  <si>
    <t>PASO ESPIRAS</t>
  </si>
  <si>
    <t>PASO 1</t>
  </si>
  <si>
    <t>PASO 2</t>
  </si>
  <si>
    <t>LONGITUD ENTRE TESTEROS</t>
  </si>
  <si>
    <t>DIAMETRO EXTERIOR ESPIRA:</t>
  </si>
  <si>
    <t>ESPESOR TESTEROS</t>
  </si>
  <si>
    <t>ESPESOR BRIDAS</t>
  </si>
  <si>
    <t>DEFINICIÓN CARACTERISTICAS</t>
  </si>
  <si>
    <t>SENTIDO DE GIRO</t>
  </si>
  <si>
    <t>MATERIAL:</t>
  </si>
  <si>
    <t>DIAMETRO TUBO EJE TORNILLO:</t>
  </si>
  <si>
    <t>Diametro
Exterior
Espira</t>
  </si>
  <si>
    <t>Pasos
Espiras</t>
  </si>
  <si>
    <t>Longitud
Entre
Testeros</t>
  </si>
  <si>
    <t>Espesor
Chapa</t>
  </si>
  <si>
    <t>COAXIAL</t>
  </si>
  <si>
    <t>ORTOGONAL</t>
  </si>
  <si>
    <t>PENDULAR</t>
  </si>
  <si>
    <t>TIPO
MOTORREDUCTOR</t>
  </si>
  <si>
    <t>POSICION MOTOREDUCTOR</t>
  </si>
  <si>
    <t>B3</t>
  </si>
  <si>
    <t>B6</t>
  </si>
  <si>
    <t>B7</t>
  </si>
  <si>
    <t>B8</t>
  </si>
  <si>
    <t>V5</t>
  </si>
  <si>
    <t>V6</t>
  </si>
  <si>
    <t>GIRO</t>
  </si>
  <si>
    <t>DERECHAS</t>
  </si>
  <si>
    <t>IZQUIERDAS</t>
  </si>
  <si>
    <t>TIPO DISPOSICIÓN
MOTORREDUCTOR-EJE</t>
  </si>
  <si>
    <t>PASO 3</t>
  </si>
  <si>
    <t>Espesor tubo:</t>
  </si>
  <si>
    <t>Filtrado espesores</t>
  </si>
  <si>
    <t>CIRCULAR</t>
  </si>
  <si>
    <t>Nº Partes del Tubo:</t>
  </si>
  <si>
    <t>Diametro Compra Mangones:</t>
  </si>
  <si>
    <t>Diametro Eje Final: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</si>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</sst>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0" fillId="0" borderId="2" xfId="0" applyBorder="1"/>
    <xf numFmtId="0" fontId="1" fillId="0" borderId="1" xfId="0" applyFon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3" borderId="1" xfId="0" applyFill="1" applyBorder="1"/>
    <xf numFmtId="0" fontId="0" fillId="0" borderId="0" xfId="0" applyAlignment="1">
      <alignment horizontal="right"/>
    </xf>
    <xf numFmtId="0" fontId="0" fillId="7" borderId="8" xfId="0" applyFill="1" applyBorder="1"/>
    <xf numFmtId="0" fontId="0" fillId="7" borderId="0" xfId="0" applyFill="1"/>
    <xf numFmtId="0" fontId="0" fillId="7" borderId="9" xfId="0" applyFill="1" applyBorder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wrapText="1"/>
    </xf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49" fontId="0" fillId="0" borderId="3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E888B85-D027-472D-8895-9E1FBBF2ACC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Serie" tableColumnId="1"/>
      <queryTableField id="2" name="Referencia" tableColumnId="2"/>
      <queryTableField id="3" name="d_mm" tableColumnId="3"/>
      <queryTableField id="4" name="D_mm.1" tableColumnId="4"/>
      <queryTableField id="5" name="B_mm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42622A1-C465-451B-9B98-B178BA476741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D_exterior_mm" tableColumnId="1"/>
      <queryTableField id="2" name="Espesor_mm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04AA96-416B-4BDF-844B-193E5EFEC21F}" name="CAT_RODAMIENTOS" displayName="CAT_RODAMIENTOS" ref="A1:F23" tableType="queryTable" totalsRowShown="0">
  <autoFilter ref="A1:F23" xr:uid="{9304AA96-416B-4BDF-844B-193E5EFEC21F}"/>
  <tableColumns count="6">
    <tableColumn id="1" xr3:uid="{134C1488-1780-4BAA-94AA-1CB54546C9B2}" uniqueName="1" name="Serie" queryTableFieldId="1"/>
    <tableColumn id="2" xr3:uid="{6108B600-8534-4027-BBD5-9AB0A2374A67}" uniqueName="2" name="Referencia" queryTableFieldId="2" dataDxfId="6"/>
    <tableColumn id="3" xr3:uid="{E77F5C50-4FBF-45B4-A394-940F4DA92784}" uniqueName="3" name="d_mm" queryTableFieldId="3"/>
    <tableColumn id="4" xr3:uid="{BE48D2C7-8B52-46C1-A484-E6D7EA270B47}" uniqueName="4" name="D_mm.1" queryTableFieldId="4"/>
    <tableColumn id="5" xr3:uid="{519794C1-1D4C-48D1-B25A-7F47A2879702}" uniqueName="5" name="B_mm" queryTableFieldId="5"/>
    <tableColumn id="6" xr3:uid="{F3015424-A654-4B00-91D8-6C5521A6A95A}" uniqueName="6" name="Valido_para_EJE" queryTableFieldId="6" dataDxfId="5">
      <calculatedColumnFormula>IF(VALUE(C2)&lt;=HojaPrincipal!$F$4,B2,"")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883335-66CA-4223-B74D-462FB0DD962C}" name="Lissta_tubos__2" displayName="Lissta_tubos__2" ref="A1:G82" tableType="queryTable" totalsRowShown="0">
  <autoFilter ref="A1:G82" xr:uid="{FF883335-66CA-4223-B74D-462FB0DD962C}"/>
  <tableColumns count="7">
    <tableColumn id="1" xr3:uid="{ECEE83FF-D6D0-4B95-A39C-0F7B2E7BE38C}" uniqueName="1" name="D_exterior_mm" queryTableFieldId="1"/>
    <tableColumn id="2" xr3:uid="{8C244027-36CC-4BE3-99F8-7C19B246D404}" uniqueName="2" name="Espesor_mm" queryTableFieldId="2"/>
    <tableColumn id="3" xr3:uid="{75A79E97-FB82-4BA0-B702-951C3CB6183B}" uniqueName="3" name="d_interior_mm" queryTableFieldId="3" dataDxfId="4">
      <calculatedColumnFormula>Lissta_tubos__2[[#This Row],[D_exterior_mm]]-(2*Lissta_tubos__2[[#This Row],[Espesor_mm]])</calculatedColumnFormula>
    </tableColumn>
    <tableColumn id="4" xr3:uid="{82263628-2ECA-46D0-B91C-57228BF398E1}" uniqueName="4" name="Valores filtrados" queryTableFieldId="4" dataDxfId="3">
      <calculatedColumnFormula>IF(C2&gt;=HojaPrincipal!$F$9,A2,"")</calculatedColumnFormula>
    </tableColumn>
    <tableColumn id="5" xr3:uid="{D7C6092B-C002-403F-9472-51F88D36D0D4}" uniqueName="5" name="Plano Testeros" queryTableFieldId="5" dataDxfId="2">
      <calculatedColumnFormula>HojaPrincipal!$A$18 &amp; "." &amp;
TEXT(ROUND(A2*10,0),"0000") &amp;
"-" &amp;
TEXT(ROUND(C2*10,0),"0000")</calculatedColumnFormula>
    </tableColumn>
    <tableColumn id="6" xr3:uid="{F33E7A41-98F6-4A54-81CF-A6FC6B066D1A}" uniqueName="6" name="d_int_VALIDO" queryTableFieldId="6" dataDxfId="1">
      <calculatedColumnFormula>IF(A2=HojaPrincipal!$D$17,C2,"")</calculatedColumnFormula>
    </tableColumn>
    <tableColumn id="7" xr3:uid="{BFE743E8-076C-4066-86C4-598EFA2DCB77}" uniqueName="7" name="Filtrado espesores" queryTableFieldId="7" dataDxfId="0">
      <calculatedColumnFormula>IF(A2=HojaPrincipal!$F$4,B2,"")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8692-3468-4820-9B79-82722A37B80C}">
  <dimension ref="A1:C32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33.140625" bestFit="1" customWidth="1"/>
    <col min="2" max="2" width="3.5703125" customWidth="1"/>
    <col min="3" max="3" width="10.7109375" customWidth="1"/>
  </cols>
  <sheetData>
    <row r="1" spans="1:3" x14ac:dyDescent="0.25">
      <c r="A1" s="19" t="s">
        <v>103</v>
      </c>
      <c r="B1" s="20"/>
      <c r="C1" s="21"/>
    </row>
    <row r="2" spans="1:3" x14ac:dyDescent="0.25">
      <c r="A2" s="12"/>
      <c r="B2" s="13"/>
      <c r="C2" s="14"/>
    </row>
    <row r="3" spans="1:3" x14ac:dyDescent="0.25">
      <c r="A3" s="22" t="s">
        <v>112</v>
      </c>
      <c r="B3" s="23"/>
      <c r="C3" s="24"/>
    </row>
    <row r="5" spans="1:3" x14ac:dyDescent="0.25">
      <c r="A5" t="s">
        <v>114</v>
      </c>
      <c r="C5" s="4" t="s">
        <v>52</v>
      </c>
    </row>
    <row r="7" spans="1:3" x14ac:dyDescent="0.25">
      <c r="A7" t="s">
        <v>115</v>
      </c>
      <c r="C7" s="2">
        <v>60.3</v>
      </c>
    </row>
    <row r="8" spans="1:3" x14ac:dyDescent="0.25">
      <c r="A8" s="11" t="s">
        <v>136</v>
      </c>
      <c r="C8" s="2">
        <v>3.2</v>
      </c>
    </row>
    <row r="9" spans="1:3" x14ac:dyDescent="0.25">
      <c r="A9" s="11" t="s">
        <v>139</v>
      </c>
      <c r="C9" s="2">
        <v>1</v>
      </c>
    </row>
    <row r="10" spans="1:3" x14ac:dyDescent="0.25">
      <c r="A10" s="11" t="s">
        <v>140</v>
      </c>
      <c r="C10" s="2"/>
    </row>
    <row r="11" spans="1:3" x14ac:dyDescent="0.25">
      <c r="A11" s="11" t="s">
        <v>141</v>
      </c>
      <c r="C11" s="2"/>
    </row>
    <row r="13" spans="1:3" x14ac:dyDescent="0.25">
      <c r="A13" t="s">
        <v>104</v>
      </c>
      <c r="C13" s="2" t="s">
        <v>138</v>
      </c>
    </row>
    <row r="15" spans="1:3" x14ac:dyDescent="0.25">
      <c r="A15" t="s">
        <v>109</v>
      </c>
      <c r="C15" s="2">
        <v>195</v>
      </c>
    </row>
    <row r="17" spans="1:3" x14ac:dyDescent="0.25">
      <c r="A17" t="s">
        <v>105</v>
      </c>
    </row>
    <row r="18" spans="1:3" x14ac:dyDescent="0.25">
      <c r="A18" s="11" t="s">
        <v>106</v>
      </c>
      <c r="B18" s="11"/>
      <c r="C18" s="2">
        <v>140</v>
      </c>
    </row>
    <row r="19" spans="1:3" x14ac:dyDescent="0.25">
      <c r="A19" s="11" t="s">
        <v>107</v>
      </c>
      <c r="B19" s="11"/>
      <c r="C19" s="2">
        <v>195</v>
      </c>
    </row>
    <row r="20" spans="1:3" x14ac:dyDescent="0.25">
      <c r="A20" s="11" t="s">
        <v>135</v>
      </c>
      <c r="B20" s="11"/>
      <c r="C20" s="2"/>
    </row>
    <row r="21" spans="1:3" x14ac:dyDescent="0.25">
      <c r="A21" s="11"/>
      <c r="B21" s="11"/>
    </row>
    <row r="22" spans="1:3" x14ac:dyDescent="0.25">
      <c r="A22" s="15" t="s">
        <v>113</v>
      </c>
      <c r="B22" s="11"/>
      <c r="C22" s="2" t="s">
        <v>132</v>
      </c>
    </row>
    <row r="24" spans="1:3" x14ac:dyDescent="0.25">
      <c r="A24" t="s">
        <v>108</v>
      </c>
      <c r="C24" s="2">
        <v>8000</v>
      </c>
    </row>
    <row r="26" spans="1:3" x14ac:dyDescent="0.25">
      <c r="A26" t="s">
        <v>110</v>
      </c>
      <c r="C26" s="2">
        <v>5</v>
      </c>
    </row>
    <row r="28" spans="1:3" x14ac:dyDescent="0.25">
      <c r="A28" t="s">
        <v>111</v>
      </c>
      <c r="C28" s="2">
        <v>5</v>
      </c>
    </row>
    <row r="30" spans="1:3" ht="30" x14ac:dyDescent="0.25">
      <c r="A30" s="16" t="s">
        <v>134</v>
      </c>
      <c r="C30" s="2" t="s">
        <v>120</v>
      </c>
    </row>
    <row r="32" spans="1:3" x14ac:dyDescent="0.25">
      <c r="A32" t="s">
        <v>124</v>
      </c>
      <c r="C32" s="2" t="s">
        <v>127</v>
      </c>
    </row>
  </sheetData>
  <mergeCells count="2">
    <mergeCell ref="A1:C1"/>
    <mergeCell ref="A3:C3"/>
  </mergeCells>
  <dataValidations count="2">
    <dataValidation type="list" allowBlank="1" showInputMessage="1" showErrorMessage="1" sqref="C13" xr:uid="{20346222-CBEA-44A4-A0A1-D269C86A790E}">
      <formula1>"ARTESA,CIRCULAR"</formula1>
    </dataValidation>
    <dataValidation type="list" allowBlank="1" showInputMessage="1" showErrorMessage="1" sqref="C9" xr:uid="{7C16BE96-A000-4443-A5FD-95E36369A1DE}">
      <formula1>"1,2,3,4"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promptTitle="Material a Utilizar:" xr:uid="{7A9F2E07-CA98-47D7-9336-965A1D3DE58E}">
          <x14:formula1>
            <xm:f>LISTA_MATERIALES!$A$2:$A$8</xm:f>
          </x14:formula1>
          <xm:sqref>C5</xm:sqref>
        </x14:dataValidation>
        <x14:dataValidation type="list" allowBlank="1" showInputMessage="1" showErrorMessage="1" xr:uid="{C73DBE57-0E16-490C-988B-D19F58573CE7}">
          <x14:formula1>
            <xm:f>LISTA_EJE_TUBO!$A:$A</xm:f>
          </x14:formula1>
          <xm:sqref>C7</xm:sqref>
        </x14:dataValidation>
        <x14:dataValidation type="list" allowBlank="1" showInputMessage="1" showErrorMessage="1" xr:uid="{CBCB5AC2-8063-4733-BB6E-E1BD2AB97071}">
          <x14:formula1>
            <xm:f>'DIAMETROS Y PASOS'!$A:$A</xm:f>
          </x14:formula1>
          <xm:sqref>C15</xm:sqref>
        </x14:dataValidation>
        <x14:dataValidation type="list" allowBlank="1" showInputMessage="1" showErrorMessage="1" xr:uid="{EE727120-6848-4E80-9EE6-D676EC6F8617}">
          <x14:formula1>
            <xm:f>'DIAMETROS Y PASOS'!$B:$B</xm:f>
          </x14:formula1>
          <xm:sqref>C18:C20</xm:sqref>
        </x14:dataValidation>
        <x14:dataValidation type="list" allowBlank="1" showInputMessage="1" showErrorMessage="1" xr:uid="{5C9DE4AB-2128-4BD8-BD8F-9A5E0D51C2E9}">
          <x14:formula1>
            <xm:f>'DIAMETROS Y PASOS'!$D$2:$D$222</xm:f>
          </x14:formula1>
          <xm:sqref>C24</xm:sqref>
        </x14:dataValidation>
        <x14:dataValidation type="list" allowBlank="1" showInputMessage="1" showErrorMessage="1" xr:uid="{99FE46CC-314E-4CF0-9DC2-AFF715ACD781}">
          <x14:formula1>
            <xm:f>'DIAMETROS Y PASOS'!$C:$C</xm:f>
          </x14:formula1>
          <xm:sqref>C26 C28</xm:sqref>
        </x14:dataValidation>
        <x14:dataValidation type="list" allowBlank="1" showInputMessage="1" showErrorMessage="1" xr:uid="{DC5B6650-C00F-46E9-8D3B-750DFD25FD56}">
          <x14:formula1>
            <xm:f>'DIAMETROS Y PASOS'!$E$2:$E$4</xm:f>
          </x14:formula1>
          <xm:sqref>C30</xm:sqref>
        </x14:dataValidation>
        <x14:dataValidation type="list" allowBlank="1" showInputMessage="1" showErrorMessage="1" xr:uid="{7A9B2717-83D8-438E-B392-B8C9E1B7BBC3}">
          <x14:formula1>
            <xm:f>'DIAMETROS Y PASOS'!$F$2:$F$7</xm:f>
          </x14:formula1>
          <xm:sqref>C32</xm:sqref>
        </x14:dataValidation>
        <x14:dataValidation type="list" allowBlank="1" showInputMessage="1" showErrorMessage="1" xr:uid="{015C4873-576A-4904-AF50-B86A581A59AB}">
          <x14:formula1>
            <xm:f>'DIAMETROS Y PASOS'!$G$2:$G$3</xm:f>
          </x14:formula1>
          <xm:sqref>C22</xm:sqref>
        </x14:dataValidation>
        <x14:dataValidation type="list" allowBlank="1" showInputMessage="1" showErrorMessage="1" xr:uid="{FF36DB0C-0DD2-4D30-AEC8-01986EF2B886}">
          <x14:formula1>
            <xm:f>LISTA_EJE_TUBO!$G$2:$G$82</xm:f>
          </x14:formula1>
          <xm:sqref>C8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9885-F2EB-40A0-94FE-62F6BB5BBB5F}">
  <dimension ref="A1:G46"/>
  <sheetViews>
    <sheetView tabSelected="1" workbookViewId="0">
      <selection activeCell="C8" sqref="C8"/>
    </sheetView>
  </sheetViews>
  <sheetFormatPr baseColWidth="10" defaultColWidth="11.42578125" defaultRowHeight="15" x14ac:dyDescent="0.25"/>
  <cols>
    <col min="2" max="2" width="34" bestFit="1" customWidth="1"/>
    <col min="3" max="3" width="22.85546875" bestFit="1" customWidth="1"/>
    <col min="4" max="4" width="7" customWidth="1"/>
    <col min="6" max="9" width="11.42578125" customWidth="1"/>
  </cols>
  <sheetData>
    <row r="1" spans="1:7" x14ac:dyDescent="0.25">
      <c r="A1" s="27" t="s">
        <v>0</v>
      </c>
      <c r="B1" s="27"/>
      <c r="C1" s="27"/>
      <c r="D1" s="27"/>
      <c r="E1" s="27"/>
    </row>
    <row r="3" spans="1:7" x14ac:dyDescent="0.25">
      <c r="A3" s="2" t="s">
        <v>1</v>
      </c>
      <c r="B3" s="2"/>
    </row>
    <row r="4" spans="1:7" x14ac:dyDescent="0.25">
      <c r="A4" s="3" t="s">
        <v>2</v>
      </c>
      <c r="B4" s="2" t="s">
        <v>92</v>
      </c>
      <c r="C4" s="6" t="str">
        <f>IF(A4&lt;&gt;"",(_xlfn.VALUETOTEXT(A4)&amp;"."&amp;
TEXT(ROUND(VALUE($D$4)*10,0),"0000")&amp;"."&amp;_xlfn.VALUETOTEXT($E$4)),"")</f>
        <v>001.001.0603.3545</v>
      </c>
      <c r="D4" s="8">
        <v>60.3</v>
      </c>
      <c r="E4" s="10">
        <f>VALUE(D16)-(2*60)</f>
        <v>3545</v>
      </c>
      <c r="F4">
        <f>VALUE(D4)</f>
        <v>60.3</v>
      </c>
    </row>
    <row r="5" spans="1:7" x14ac:dyDescent="0.25">
      <c r="A5" s="3" t="s">
        <v>6</v>
      </c>
      <c r="B5" s="2" t="s">
        <v>4</v>
      </c>
      <c r="C5" s="6" t="str">
        <f>IF(A5&lt;&gt;"",(_xlfn.VALUETOTEXT(A5)&amp;"."&amp;
TEXT(ROUND(VALUE($D$4)*10,0),"0000"))&amp;"."&amp;TEXT(ROUND(VALUE(D5)*10,0),"0000"),"")</f>
        <v>001.002.0603.0550</v>
      </c>
      <c r="D5" s="5">
        <f>IF($D$37="","",$D$37)</f>
        <v>55</v>
      </c>
    </row>
    <row r="6" spans="1:7" x14ac:dyDescent="0.25">
      <c r="A6" s="3" t="s">
        <v>7</v>
      </c>
      <c r="B6" s="2" t="s">
        <v>5</v>
      </c>
      <c r="C6" s="6" t="str">
        <f t="shared" ref="C6:C8" si="0">IF(A6&lt;&gt;"",(_xlfn.VALUETOTEXT(A6)&amp;"."&amp;
TEXT(ROUND(VALUE($D$4)*10,0),"0000"))&amp;"."&amp;TEXT(ROUND(VALUE(D6)*10,0),"0000"),"")</f>
        <v>001.003.0603.0550</v>
      </c>
      <c r="D6" s="2">
        <f>IF($D$37="","",$D$37)</f>
        <v>55</v>
      </c>
    </row>
    <row r="7" spans="1:7" x14ac:dyDescent="0.25">
      <c r="A7" s="3" t="s">
        <v>8</v>
      </c>
      <c r="B7" s="2" t="s">
        <v>3</v>
      </c>
      <c r="C7" s="6" t="str">
        <f t="shared" si="0"/>
        <v>001.004.0603.0550</v>
      </c>
      <c r="D7" s="2">
        <f>IF($D$37="","",$D$37)</f>
        <v>55</v>
      </c>
    </row>
    <row r="8" spans="1:7" x14ac:dyDescent="0.25">
      <c r="A8" s="3" t="s">
        <v>9</v>
      </c>
      <c r="B8" s="2" t="s">
        <v>87</v>
      </c>
      <c r="C8" s="6"/>
      <c r="D8" s="2">
        <f>ROUNDDOWN((($E$4-100)/$D$11),0)</f>
        <v>29</v>
      </c>
    </row>
    <row r="9" spans="1:7" x14ac:dyDescent="0.25">
      <c r="A9" s="3"/>
      <c r="B9" s="2" t="s">
        <v>88</v>
      </c>
      <c r="C9" s="6" t="str">
        <f>IF(A9&lt;&gt;"",(_xlfn.VALUETOTEXT(A9)&amp;"."&amp;
TEXT(ROUND(VALUE($D$4)*10,0),"0000")&amp;"."&amp;_xlfn.VALUETOTEXT($E$4)),"")</f>
        <v/>
      </c>
      <c r="D9" s="7">
        <v>115</v>
      </c>
      <c r="F9">
        <f>VALUE(D9+8)</f>
        <v>123</v>
      </c>
      <c r="G9">
        <f>MIN(LISTA_EJE_TUBO!D2:D500)</f>
        <v>139.69999999999999</v>
      </c>
    </row>
    <row r="10" spans="1:7" x14ac:dyDescent="0.25">
      <c r="A10" s="3"/>
      <c r="B10" s="2" t="s">
        <v>89</v>
      </c>
      <c r="C10" s="6" t="str">
        <f>IF(A10&lt;&gt;"",(_xlfn.VALUETOTEXT(A10)&amp;"."&amp;
TEXT(ROUND(VALUE($D$4)*10,0),"0000")&amp;"."&amp;_xlfn.VALUETOTEXT($E$4)),"")</f>
        <v/>
      </c>
      <c r="D10" s="2">
        <f>F4+0.5</f>
        <v>60.8</v>
      </c>
    </row>
    <row r="11" spans="1:7" x14ac:dyDescent="0.25">
      <c r="A11" s="3"/>
      <c r="B11" s="2" t="s">
        <v>90</v>
      </c>
      <c r="C11" s="6" t="str">
        <f>IF($D$11&lt;&gt;"",(_xlfn.VALUETOTEXT($A$8)&amp;"."&amp;
TEXT(ROUND(VALUE($D$4)*10,0),"0000")&amp;"."&amp;TEXT(ROUND(VALUE($D$9),0),"0000")&amp;"."&amp;TEXT(ROUND(VALUE($D$11),0),"0000")),"")</f>
        <v>001.005.0603.0115.0115</v>
      </c>
      <c r="D11" s="7">
        <v>115</v>
      </c>
    </row>
    <row r="12" spans="1:7" x14ac:dyDescent="0.25">
      <c r="A12" s="3"/>
      <c r="B12" s="2" t="s">
        <v>91</v>
      </c>
      <c r="C12" s="6" t="str">
        <f>IF($D$12&lt;&gt;"",(_xlfn.VALUETOTEXT($A$8)&amp;"."&amp;
TEXT(ROUND(VALUE($D$4)*10,0),"0000")&amp;"."&amp;TEXT(ROUND(VALUE($D$9),0),"0000")&amp;"."&amp;TEXT(ROUND(VALUE($D$12),0),"0000")),"")</f>
        <v/>
      </c>
      <c r="D12" s="7"/>
    </row>
    <row r="13" spans="1:7" x14ac:dyDescent="0.25">
      <c r="A13" s="3" t="s">
        <v>15</v>
      </c>
      <c r="B13" s="2" t="s">
        <v>16</v>
      </c>
      <c r="C13" s="6" t="str">
        <f>IF(A13&lt;&gt;"",(_xlfn.VALUETOTEXT(A13)&amp;"."&amp;
TEXT(ROUND(VALUE($D$4)*10,0),"0000")&amp;"."&amp;_xlfn.VALUETOTEXT($E$4)),"")</f>
        <v>001.006.0603.3545</v>
      </c>
      <c r="D13" s="2">
        <v>4</v>
      </c>
      <c r="E13" t="s">
        <v>142</v>
      </c>
      <c r="F13" t="s">
        <v>86</v>
      </c>
    </row>
    <row r="14" spans="1:7" x14ac:dyDescent="0.25">
      <c r="A14" s="1"/>
    </row>
    <row r="15" spans="1:7" x14ac:dyDescent="0.25">
      <c r="A15" s="3" t="s">
        <v>17</v>
      </c>
      <c r="B15" s="2"/>
    </row>
    <row r="16" spans="1:7" x14ac:dyDescent="0.25">
      <c r="A16" s="25" t="s">
        <v>93</v>
      </c>
      <c r="B16" s="26"/>
      <c r="D16" s="9">
        <v>3665</v>
      </c>
    </row>
    <row r="17" spans="1:5" x14ac:dyDescent="0.25">
      <c r="A17" s="3" t="s">
        <v>26</v>
      </c>
      <c r="B17" s="2" t="s">
        <v>99</v>
      </c>
      <c r="D17" s="2">
        <f>IFERROR(HojaPrincipal!$G$9,"")</f>
        <v>139.69999999999999</v>
      </c>
      <c r="E17" s="8">
        <v>131.69999999999999</v>
      </c>
    </row>
    <row r="18" spans="1:5" x14ac:dyDescent="0.25">
      <c r="A18" s="3" t="s">
        <v>27</v>
      </c>
      <c r="B18" s="2" t="s">
        <v>10</v>
      </c>
      <c r="C18" s="6" t="str">
        <f>_xlfn.VALUETOTEXT(A18)  &amp; "." &amp;
TEXT(ROUND(VALUE($D$17)*10,0),"0000") &amp;
"." &amp;
TEXT(ROUND(VALUE($E$17)*10,0),"0000")&amp;"."&amp;
TEXT(ROUND(VALUE($D$18),0),"0000")</f>
        <v>002A.002.1397.1317.0005</v>
      </c>
      <c r="D18" s="7">
        <v>5</v>
      </c>
      <c r="E18" t="s">
        <v>102</v>
      </c>
    </row>
    <row r="19" spans="1:5" x14ac:dyDescent="0.25">
      <c r="A19" s="3" t="s">
        <v>28</v>
      </c>
      <c r="B19" s="2" t="s">
        <v>11</v>
      </c>
      <c r="C19" s="6" t="str">
        <f>_xlfn.VALUETOTEXT(A19)  &amp; "." &amp;
TEXT(ROUND(VALUE($D$17)*10,0),"0000")</f>
        <v>002A.003.1397</v>
      </c>
    </row>
    <row r="20" spans="1:5" x14ac:dyDescent="0.25">
      <c r="A20" s="3" t="s">
        <v>29</v>
      </c>
      <c r="B20" s="2" t="s">
        <v>101</v>
      </c>
      <c r="C20" s="6" t="str">
        <f>_xlfn.VALUETOTEXT(A20)  &amp; "." &amp;
TEXT(ROUND(VALUE($D$17)*10,0),"0000") &amp;
"-" &amp;
TEXT(ROUND(VALUE($D$6),0),"0000")</f>
        <v>002A.004.1397-0055</v>
      </c>
    </row>
    <row r="21" spans="1:5" x14ac:dyDescent="0.25">
      <c r="A21" s="3" t="s">
        <v>30</v>
      </c>
      <c r="B21" s="2" t="s">
        <v>13</v>
      </c>
      <c r="C21" s="2"/>
    </row>
    <row r="22" spans="1:5" x14ac:dyDescent="0.25">
      <c r="A22" s="3" t="s">
        <v>31</v>
      </c>
      <c r="B22" s="2" t="s">
        <v>14</v>
      </c>
      <c r="C22" s="2"/>
    </row>
    <row r="23" spans="1:5" x14ac:dyDescent="0.25">
      <c r="A23" s="1"/>
    </row>
    <row r="24" spans="1:5" x14ac:dyDescent="0.25">
      <c r="A24" s="3" t="s">
        <v>18</v>
      </c>
      <c r="B24" s="2"/>
    </row>
    <row r="25" spans="1:5" x14ac:dyDescent="0.25">
      <c r="A25" s="25" t="s">
        <v>93</v>
      </c>
      <c r="B25" s="26"/>
      <c r="C25" s="2"/>
    </row>
    <row r="26" spans="1:5" x14ac:dyDescent="0.25">
      <c r="A26" s="3" t="s">
        <v>20</v>
      </c>
      <c r="B26" s="2" t="s">
        <v>19</v>
      </c>
      <c r="C26" s="2"/>
    </row>
    <row r="27" spans="1:5" x14ac:dyDescent="0.25">
      <c r="A27" s="3" t="s">
        <v>21</v>
      </c>
      <c r="B27" s="2" t="s">
        <v>10</v>
      </c>
      <c r="C27" s="2"/>
    </row>
    <row r="28" spans="1:5" x14ac:dyDescent="0.25">
      <c r="A28" s="3" t="s">
        <v>22</v>
      </c>
      <c r="B28" s="2" t="s">
        <v>11</v>
      </c>
      <c r="C28" s="2"/>
    </row>
    <row r="29" spans="1:5" x14ac:dyDescent="0.25">
      <c r="A29" s="3" t="s">
        <v>23</v>
      </c>
      <c r="B29" s="2" t="s">
        <v>12</v>
      </c>
      <c r="C29" s="2"/>
    </row>
    <row r="30" spans="1:5" x14ac:dyDescent="0.25">
      <c r="A30" s="3" t="s">
        <v>24</v>
      </c>
      <c r="B30" s="2" t="s">
        <v>13</v>
      </c>
      <c r="C30" s="2"/>
    </row>
    <row r="31" spans="1:5" x14ac:dyDescent="0.25">
      <c r="A31" s="3" t="s">
        <v>25</v>
      </c>
      <c r="B31" s="2" t="s">
        <v>14</v>
      </c>
      <c r="C31" s="2"/>
    </row>
    <row r="32" spans="1:5" x14ac:dyDescent="0.25">
      <c r="A32" s="1"/>
    </row>
    <row r="33" spans="1:7" x14ac:dyDescent="0.25">
      <c r="A33" s="3" t="s">
        <v>32</v>
      </c>
      <c r="B33" s="2"/>
    </row>
    <row r="34" spans="1:7" x14ac:dyDescent="0.25">
      <c r="A34" s="3" t="s">
        <v>40</v>
      </c>
      <c r="B34" s="2" t="s">
        <v>33</v>
      </c>
    </row>
    <row r="35" spans="1:7" x14ac:dyDescent="0.25">
      <c r="A35" s="3" t="s">
        <v>41</v>
      </c>
      <c r="B35" s="2" t="s">
        <v>34</v>
      </c>
    </row>
    <row r="36" spans="1:7" x14ac:dyDescent="0.25">
      <c r="A36" s="3" t="s">
        <v>42</v>
      </c>
      <c r="B36" s="2" t="s">
        <v>35</v>
      </c>
    </row>
    <row r="37" spans="1:7" x14ac:dyDescent="0.25">
      <c r="A37" s="3" t="s">
        <v>43</v>
      </c>
      <c r="B37" s="2" t="s">
        <v>36</v>
      </c>
      <c r="C37" t="s">
        <v>66</v>
      </c>
      <c r="D37">
        <f>IF(C37="","",_xlfn.XLOOKUP(C37,'CAT_RODAMIENTOS'!$B:$B,'CAT_RODAMIENTOS'!$C:$C))</f>
        <v>55</v>
      </c>
      <c r="E37">
        <f>IF(C37="","",_xlfn.XLOOKUP(C37,'CAT_RODAMIENTOS'!$B:$B,'CAT_RODAMIENTOS'!$D:$D))</f>
        <v>100</v>
      </c>
      <c r="F37">
        <f>IF(C37="","",_xlfn.XLOOKUP(C37,'CAT_RODAMIENTOS'!$B:$B,'CAT_RODAMIENTOS'!$E:$E))</f>
        <v>25</v>
      </c>
      <c r="G37">
        <f>D37-2*E37</f>
        <v>-145</v>
      </c>
    </row>
    <row r="38" spans="1:7" x14ac:dyDescent="0.25">
      <c r="A38" s="3" t="s">
        <v>44</v>
      </c>
      <c r="B38" s="2" t="s">
        <v>37</v>
      </c>
    </row>
    <row r="39" spans="1:7" x14ac:dyDescent="0.25">
      <c r="A39" s="3" t="s">
        <v>49</v>
      </c>
      <c r="B39" s="2" t="s">
        <v>38</v>
      </c>
    </row>
    <row r="41" spans="1:7" x14ac:dyDescent="0.25">
      <c r="A41" s="3" t="s">
        <v>39</v>
      </c>
      <c r="B41" s="2"/>
    </row>
    <row r="42" spans="1:7" x14ac:dyDescent="0.25">
      <c r="A42" s="3" t="s">
        <v>45</v>
      </c>
      <c r="B42" s="2" t="s">
        <v>33</v>
      </c>
    </row>
    <row r="43" spans="1:7" x14ac:dyDescent="0.25">
      <c r="A43" s="3" t="s">
        <v>46</v>
      </c>
      <c r="B43" s="2" t="s">
        <v>34</v>
      </c>
    </row>
    <row r="44" spans="1:7" x14ac:dyDescent="0.25">
      <c r="A44" s="3" t="s">
        <v>47</v>
      </c>
      <c r="B44" s="2" t="s">
        <v>35</v>
      </c>
    </row>
    <row r="45" spans="1:7" x14ac:dyDescent="0.25">
      <c r="A45" s="3" t="s">
        <v>48</v>
      </c>
      <c r="B45" s="2" t="s">
        <v>36</v>
      </c>
    </row>
    <row r="46" spans="1:7" x14ac:dyDescent="0.25">
      <c r="A46" s="3" t="s">
        <v>50</v>
      </c>
      <c r="B46" s="2" t="s">
        <v>38</v>
      </c>
    </row>
  </sheetData>
  <mergeCells count="3">
    <mergeCell ref="A25:B25"/>
    <mergeCell ref="A16:B16"/>
    <mergeCell ref="A1:E1"/>
  </mergeCells>
  <phoneticPr fontId="2" type="noConversion"/>
  <dataValidations count="1">
    <dataValidation type="list" allowBlank="1" showInputMessage="1" showErrorMessage="1" sqref="D4" xr:uid="{D9943891-2A88-4CFF-8905-D5C9D5C7D9C8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BA2A29-166C-4C2E-9AD6-26AAA3A1D741}">
          <x14:formula1>
            <xm:f>'CAT_RODAMIENTOS'!$F$2:$F$23</xm:f>
          </x14:formula1>
          <xm:sqref>C37</xm:sqref>
        </x14:dataValidation>
        <x14:dataValidation type="list" allowBlank="1" showInputMessage="1" showErrorMessage="1" xr:uid="{4994B9E8-B217-4C99-9FC4-64CFD5C83555}">
          <x14:formula1>
            <xm:f>LISTA_EJE_TUBO!$F$2:$F$500</xm:f>
          </x14:formula1>
          <xm:sqref>E17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1B9D-64E1-422E-B649-180F7B0F8BAB}">
  <dimension ref="A1:F23"/>
  <sheetViews>
    <sheetView workbookViewId="0">
      <selection activeCell="F7" sqref="F7"/>
    </sheetView>
  </sheetViews>
  <sheetFormatPr baseColWidth="10" defaultColWidth="11.42578125" defaultRowHeight="15" x14ac:dyDescent="0.25"/>
  <cols>
    <col min="1" max="1" width="8" bestFit="1" customWidth="1"/>
    <col min="2" max="2" width="13.140625" bestFit="1" customWidth="1"/>
    <col min="3" max="3" width="8.7109375" bestFit="1" customWidth="1"/>
    <col min="4" max="4" width="10.5703125" bestFit="1" customWidth="1"/>
    <col min="5" max="5" width="8.7109375" bestFit="1" customWidth="1"/>
    <col min="6" max="6" width="17.42578125" bestFit="1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85</v>
      </c>
    </row>
    <row r="2" spans="1:6" x14ac:dyDescent="0.25">
      <c r="A2">
        <v>22208</v>
      </c>
      <c r="B2" t="s">
        <v>63</v>
      </c>
      <c r="C2">
        <v>40</v>
      </c>
      <c r="D2">
        <v>80</v>
      </c>
      <c r="E2">
        <v>23</v>
      </c>
      <c r="F2" t="str">
        <f>IF(VALUE(C2)&lt;=HojaPrincipal!$F$4,B2,"")</f>
        <v>SKF 22208 E</v>
      </c>
    </row>
    <row r="3" spans="1:6" x14ac:dyDescent="0.25">
      <c r="A3">
        <v>22209</v>
      </c>
      <c r="B3" t="s">
        <v>64</v>
      </c>
      <c r="C3">
        <v>45</v>
      </c>
      <c r="D3">
        <v>85</v>
      </c>
      <c r="E3">
        <v>23</v>
      </c>
      <c r="F3" t="str">
        <f>IF(VALUE(C3)&lt;=HojaPrincipal!$F$4,B3,"")</f>
        <v>SKF 22209 E</v>
      </c>
    </row>
    <row r="4" spans="1:6" x14ac:dyDescent="0.25">
      <c r="A4">
        <v>22210</v>
      </c>
      <c r="B4" t="s">
        <v>65</v>
      </c>
      <c r="C4">
        <v>50</v>
      </c>
      <c r="D4">
        <v>90</v>
      </c>
      <c r="E4">
        <v>23</v>
      </c>
      <c r="F4" t="str">
        <f>IF(VALUE(C4)&lt;=HojaPrincipal!$F$4,B4,"")</f>
        <v>SKF 22210 E</v>
      </c>
    </row>
    <row r="5" spans="1:6" x14ac:dyDescent="0.25">
      <c r="A5">
        <v>22211</v>
      </c>
      <c r="B5" t="s">
        <v>66</v>
      </c>
      <c r="C5">
        <v>55</v>
      </c>
      <c r="D5">
        <v>100</v>
      </c>
      <c r="E5">
        <v>25</v>
      </c>
      <c r="F5" t="str">
        <f>IF(VALUE(C5)&lt;=HojaPrincipal!$F$4,B5,"")</f>
        <v>SKF 22211 E</v>
      </c>
    </row>
    <row r="6" spans="1:6" x14ac:dyDescent="0.25">
      <c r="A6">
        <v>22212</v>
      </c>
      <c r="B6" t="s">
        <v>67</v>
      </c>
      <c r="C6">
        <v>60</v>
      </c>
      <c r="D6">
        <v>110</v>
      </c>
      <c r="E6">
        <v>28</v>
      </c>
      <c r="F6" t="str">
        <f>IF(VALUE(C6)&lt;=HojaPrincipal!$F$4,B6,"")</f>
        <v>SKF 22212 E</v>
      </c>
    </row>
    <row r="7" spans="1:6" x14ac:dyDescent="0.25">
      <c r="A7">
        <v>22213</v>
      </c>
      <c r="B7" t="s">
        <v>68</v>
      </c>
      <c r="C7">
        <v>65</v>
      </c>
      <c r="D7">
        <v>120</v>
      </c>
      <c r="E7">
        <v>31</v>
      </c>
      <c r="F7" t="str">
        <f>IF(VALUE(C7)&lt;=HojaPrincipal!$F$4,B7,"")</f>
        <v/>
      </c>
    </row>
    <row r="8" spans="1:6" x14ac:dyDescent="0.25">
      <c r="A8">
        <v>22214</v>
      </c>
      <c r="B8" t="s">
        <v>69</v>
      </c>
      <c r="C8">
        <v>70</v>
      </c>
      <c r="D8">
        <v>125</v>
      </c>
      <c r="E8">
        <v>31</v>
      </c>
      <c r="F8" t="str">
        <f>IF(VALUE(C8)&lt;=HojaPrincipal!$F$4,B8,"")</f>
        <v/>
      </c>
    </row>
    <row r="9" spans="1:6" x14ac:dyDescent="0.25">
      <c r="A9">
        <v>22215</v>
      </c>
      <c r="B9" t="s">
        <v>70</v>
      </c>
      <c r="C9">
        <v>75</v>
      </c>
      <c r="D9">
        <v>130</v>
      </c>
      <c r="E9">
        <v>31</v>
      </c>
      <c r="F9" t="str">
        <f>IF(VALUE(C9)&lt;=HojaPrincipal!$F$4,B9,"")</f>
        <v/>
      </c>
    </row>
    <row r="10" spans="1:6" x14ac:dyDescent="0.25">
      <c r="A10">
        <v>22216</v>
      </c>
      <c r="B10" t="s">
        <v>71</v>
      </c>
      <c r="C10">
        <v>80</v>
      </c>
      <c r="D10">
        <v>140</v>
      </c>
      <c r="E10">
        <v>33</v>
      </c>
      <c r="F10" t="str">
        <f>IF(VALUE(C10)&lt;=HojaPrincipal!$F$4,B10,"")</f>
        <v/>
      </c>
    </row>
    <row r="11" spans="1:6" x14ac:dyDescent="0.25">
      <c r="A11">
        <v>22217</v>
      </c>
      <c r="B11" t="s">
        <v>72</v>
      </c>
      <c r="C11">
        <v>85</v>
      </c>
      <c r="D11">
        <v>150</v>
      </c>
      <c r="E11">
        <v>36</v>
      </c>
      <c r="F11" t="str">
        <f>IF(VALUE(C11)&lt;=HojaPrincipal!$F$4,B11,"")</f>
        <v/>
      </c>
    </row>
    <row r="12" spans="1:6" x14ac:dyDescent="0.25">
      <c r="A12">
        <v>22218</v>
      </c>
      <c r="B12" t="s">
        <v>73</v>
      </c>
      <c r="C12">
        <v>90</v>
      </c>
      <c r="D12">
        <v>160</v>
      </c>
      <c r="E12">
        <v>40</v>
      </c>
      <c r="F12" t="str">
        <f>IF(VALUE(C12)&lt;=HojaPrincipal!$F$4,B12,"")</f>
        <v/>
      </c>
    </row>
    <row r="13" spans="1:6" x14ac:dyDescent="0.25">
      <c r="A13">
        <v>22220</v>
      </c>
      <c r="B13" t="s">
        <v>74</v>
      </c>
      <c r="C13">
        <v>100</v>
      </c>
      <c r="D13">
        <v>180</v>
      </c>
      <c r="E13">
        <v>46</v>
      </c>
      <c r="F13" t="str">
        <f>IF(VALUE(C13)&lt;=HojaPrincipal!$F$4,B13,"")</f>
        <v/>
      </c>
    </row>
    <row r="14" spans="1:6" x14ac:dyDescent="0.25">
      <c r="A14">
        <v>22310</v>
      </c>
      <c r="B14" t="s">
        <v>75</v>
      </c>
      <c r="C14">
        <v>50</v>
      </c>
      <c r="D14">
        <v>110</v>
      </c>
      <c r="E14">
        <v>40</v>
      </c>
      <c r="F14" t="str">
        <f>IF(VALUE(C14)&lt;=HojaPrincipal!$F$4,B14,"")</f>
        <v>SKF 22310 E</v>
      </c>
    </row>
    <row r="15" spans="1:6" x14ac:dyDescent="0.25">
      <c r="A15">
        <v>22311</v>
      </c>
      <c r="B15" t="s">
        <v>76</v>
      </c>
      <c r="C15">
        <v>55</v>
      </c>
      <c r="D15">
        <v>120</v>
      </c>
      <c r="E15">
        <v>43</v>
      </c>
      <c r="F15" t="str">
        <f>IF(VALUE(C15)&lt;=HojaPrincipal!$F$4,B15,"")</f>
        <v>SKF 22311 E</v>
      </c>
    </row>
    <row r="16" spans="1:6" x14ac:dyDescent="0.25">
      <c r="A16">
        <v>22312</v>
      </c>
      <c r="B16" t="s">
        <v>77</v>
      </c>
      <c r="C16">
        <v>60</v>
      </c>
      <c r="D16">
        <v>130</v>
      </c>
      <c r="E16">
        <v>46</v>
      </c>
      <c r="F16" t="str">
        <f>IF(VALUE(C16)&lt;=HojaPrincipal!$F$4,B16,"")</f>
        <v>SKF 22312 E</v>
      </c>
    </row>
    <row r="17" spans="1:6" x14ac:dyDescent="0.25">
      <c r="A17">
        <v>22313</v>
      </c>
      <c r="B17" t="s">
        <v>78</v>
      </c>
      <c r="C17">
        <v>65</v>
      </c>
      <c r="D17">
        <v>140</v>
      </c>
      <c r="E17">
        <v>48</v>
      </c>
      <c r="F17" t="str">
        <f>IF(VALUE(C17)&lt;=HojaPrincipal!$F$4,B17,"")</f>
        <v/>
      </c>
    </row>
    <row r="18" spans="1:6" x14ac:dyDescent="0.25">
      <c r="A18">
        <v>22314</v>
      </c>
      <c r="B18" t="s">
        <v>79</v>
      </c>
      <c r="C18">
        <v>70</v>
      </c>
      <c r="D18">
        <v>150</v>
      </c>
      <c r="E18">
        <v>51</v>
      </c>
      <c r="F18" t="str">
        <f>IF(VALUE(C18)&lt;=HojaPrincipal!$F$4,B18,"")</f>
        <v/>
      </c>
    </row>
    <row r="19" spans="1:6" x14ac:dyDescent="0.25">
      <c r="A19">
        <v>22315</v>
      </c>
      <c r="B19" t="s">
        <v>80</v>
      </c>
      <c r="C19">
        <v>75</v>
      </c>
      <c r="D19">
        <v>160</v>
      </c>
      <c r="E19">
        <v>55</v>
      </c>
      <c r="F19" t="str">
        <f>IF(VALUE(C19)&lt;=HojaPrincipal!$F$4,B19,"")</f>
        <v/>
      </c>
    </row>
    <row r="20" spans="1:6" x14ac:dyDescent="0.25">
      <c r="A20">
        <v>22316</v>
      </c>
      <c r="B20" t="s">
        <v>81</v>
      </c>
      <c r="C20">
        <v>80</v>
      </c>
      <c r="D20">
        <v>170</v>
      </c>
      <c r="E20">
        <v>58</v>
      </c>
      <c r="F20" t="str">
        <f>IF(VALUE(C20)&lt;=HojaPrincipal!$F$4,B20,"")</f>
        <v/>
      </c>
    </row>
    <row r="21" spans="1:6" x14ac:dyDescent="0.25">
      <c r="A21">
        <v>22317</v>
      </c>
      <c r="B21" t="s">
        <v>82</v>
      </c>
      <c r="C21">
        <v>85</v>
      </c>
      <c r="D21">
        <v>180</v>
      </c>
      <c r="E21">
        <v>60</v>
      </c>
      <c r="F21" t="str">
        <f>IF(VALUE(C21)&lt;=HojaPrincipal!$F$4,B21,"")</f>
        <v/>
      </c>
    </row>
    <row r="22" spans="1:6" x14ac:dyDescent="0.25">
      <c r="A22">
        <v>22318</v>
      </c>
      <c r="B22" t="s">
        <v>83</v>
      </c>
      <c r="C22">
        <v>90</v>
      </c>
      <c r="D22">
        <v>190</v>
      </c>
      <c r="E22">
        <v>64</v>
      </c>
      <c r="F22" t="str">
        <f>IF(VALUE(C22)&lt;=HojaPrincipal!$F$4,B22,"")</f>
        <v/>
      </c>
    </row>
    <row r="23" spans="1:6" x14ac:dyDescent="0.25">
      <c r="A23">
        <v>22320</v>
      </c>
      <c r="B23" t="s">
        <v>84</v>
      </c>
      <c r="C23">
        <v>100</v>
      </c>
      <c r="D23">
        <v>215</v>
      </c>
      <c r="E23">
        <v>73</v>
      </c>
      <c r="F23" t="str">
        <f>IF(VALUE(C23)&lt;=HojaPrincipal!$F$4,B23,"")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69E0-8028-4C54-8A3B-EA3A5D6778EC}">
  <dimension ref="A1:G82"/>
  <sheetViews>
    <sheetView workbookViewId="0">
      <selection activeCell="H1" sqref="H1"/>
    </sheetView>
  </sheetViews>
  <sheetFormatPr baseColWidth="10" defaultColWidth="9.140625" defaultRowHeight="15" x14ac:dyDescent="0.25"/>
  <cols>
    <col min="1" max="1" width="17.140625" bestFit="1" customWidth="1"/>
    <col min="2" max="2" width="14.85546875" bestFit="1" customWidth="1"/>
    <col min="3" max="3" width="14" customWidth="1"/>
    <col min="5" max="5" width="18.28515625" bestFit="1" customWidth="1"/>
    <col min="7" max="7" width="17.28515625" customWidth="1"/>
  </cols>
  <sheetData>
    <row r="1" spans="1:7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100</v>
      </c>
      <c r="G1" t="s">
        <v>137</v>
      </c>
    </row>
    <row r="2" spans="1:7" x14ac:dyDescent="0.25">
      <c r="A2">
        <v>21.3</v>
      </c>
      <c r="B2">
        <v>2</v>
      </c>
      <c r="C2">
        <f>Lissta_tubos__2[[#This Row],[D_exterior_mm]]-(2*Lissta_tubos__2[[#This Row],[Espesor_mm]])</f>
        <v>17.3</v>
      </c>
      <c r="D2" t="str">
        <f>IF(C2&gt;=HojaPrincipal!$F$9,A2,"")</f>
        <v/>
      </c>
      <c r="E2" t="str">
        <f>HojaPrincipal!$A$18 &amp; "." &amp;
TEXT(ROUND(A2*10,0),"0000") &amp;
"-" &amp;
TEXT(ROUND(C2*10,0),"0000")</f>
        <v>002A.002.0213-0173</v>
      </c>
      <c r="F2" t="str">
        <f>IF(A2=HojaPrincipal!$D$17,C2,"")</f>
        <v/>
      </c>
      <c r="G2" t="str">
        <f>IF(A2=HojaPrincipal!$F$4,B2,"")</f>
        <v/>
      </c>
    </row>
    <row r="3" spans="1:7" x14ac:dyDescent="0.25">
      <c r="A3">
        <v>21.3</v>
      </c>
      <c r="B3">
        <v>2.2999999999999998</v>
      </c>
      <c r="C3">
        <f>Lissta_tubos__2[[#This Row],[D_exterior_mm]]-(2*Lissta_tubos__2[[#This Row],[Espesor_mm]])</f>
        <v>16.700000000000003</v>
      </c>
      <c r="D3" t="str">
        <f>IF(C3&gt;=HojaPrincipal!$F$9,A3,"")</f>
        <v/>
      </c>
      <c r="E3" t="str">
        <f>HojaPrincipal!$A$18 &amp; "." &amp;
TEXT(ROUND(A3*10,0),"0000") &amp;
"-" &amp;
TEXT(ROUND(C3*10,0),"0000")</f>
        <v>002A.002.0213-0167</v>
      </c>
      <c r="F3" t="str">
        <f>IF(A3=HojaPrincipal!$D$17,C3,"")</f>
        <v/>
      </c>
      <c r="G3" t="str">
        <f>IF(A3=HojaPrincipal!$F$4,B3,"")</f>
        <v/>
      </c>
    </row>
    <row r="4" spans="1:7" x14ac:dyDescent="0.25">
      <c r="A4">
        <v>21.3</v>
      </c>
      <c r="B4">
        <v>2.6</v>
      </c>
      <c r="C4">
        <f>Lissta_tubos__2[[#This Row],[D_exterior_mm]]-(2*Lissta_tubos__2[[#This Row],[Espesor_mm]])</f>
        <v>16.100000000000001</v>
      </c>
      <c r="D4" t="str">
        <f>IF(C4&gt;=HojaPrincipal!$F$9,A4,"")</f>
        <v/>
      </c>
      <c r="E4" t="str">
        <f>HojaPrincipal!$A$18 &amp; "." &amp;
TEXT(ROUND(A4*10,0),"0000") &amp;
"-" &amp;
TEXT(ROUND(C4*10,0),"0000")</f>
        <v>002A.002.0213-0161</v>
      </c>
      <c r="F4" t="str">
        <f>IF(A4=HojaPrincipal!$D$17,C4,"")</f>
        <v/>
      </c>
      <c r="G4" t="str">
        <f>IF(A4=HojaPrincipal!$F$4,B4,"")</f>
        <v/>
      </c>
    </row>
    <row r="5" spans="1:7" x14ac:dyDescent="0.25">
      <c r="A5">
        <v>21.3</v>
      </c>
      <c r="B5">
        <v>3</v>
      </c>
      <c r="C5">
        <f>Lissta_tubos__2[[#This Row],[D_exterior_mm]]-(2*Lissta_tubos__2[[#This Row],[Espesor_mm]])</f>
        <v>15.3</v>
      </c>
      <c r="D5" t="str">
        <f>IF(C5&gt;=HojaPrincipal!$F$9,A5,"")</f>
        <v/>
      </c>
      <c r="E5" t="str">
        <f>HojaPrincipal!$A$18 &amp; "." &amp;
TEXT(ROUND(A5*10,0),"0000") &amp;
"-" &amp;
TEXT(ROUND(C5*10,0),"0000")</f>
        <v>002A.002.0213-0153</v>
      </c>
      <c r="F5" t="str">
        <f>IF(A5=HojaPrincipal!$D$17,C5,"")</f>
        <v/>
      </c>
      <c r="G5" t="str">
        <f>IF(A5=HojaPrincipal!$F$4,B5,"")</f>
        <v/>
      </c>
    </row>
    <row r="6" spans="1:7" x14ac:dyDescent="0.25">
      <c r="A6">
        <v>26.9</v>
      </c>
      <c r="B6">
        <v>2</v>
      </c>
      <c r="C6">
        <f>Lissta_tubos__2[[#This Row],[D_exterior_mm]]-(2*Lissta_tubos__2[[#This Row],[Espesor_mm]])</f>
        <v>22.9</v>
      </c>
      <c r="D6" t="str">
        <f>IF(C6&gt;=HojaPrincipal!$F$9,A6,"")</f>
        <v/>
      </c>
      <c r="E6" t="str">
        <f>HojaPrincipal!$A$18 &amp; "." &amp;
TEXT(ROUND(A6*10,0),"0000") &amp;
"-" &amp;
TEXT(ROUND(C6*10,0),"0000")</f>
        <v>002A.002.0269-0229</v>
      </c>
      <c r="F6" t="str">
        <f>IF(A6=HojaPrincipal!$D$17,C6,"")</f>
        <v/>
      </c>
      <c r="G6" t="str">
        <f>IF(A6=HojaPrincipal!$F$4,B6,"")</f>
        <v/>
      </c>
    </row>
    <row r="7" spans="1:7" x14ac:dyDescent="0.25">
      <c r="A7">
        <v>26.9</v>
      </c>
      <c r="B7">
        <v>2.2999999999999998</v>
      </c>
      <c r="C7">
        <f>Lissta_tubos__2[[#This Row],[D_exterior_mm]]-(2*Lissta_tubos__2[[#This Row],[Espesor_mm]])</f>
        <v>22.299999999999997</v>
      </c>
      <c r="D7" t="str">
        <f>IF(C7&gt;=HojaPrincipal!$F$9,A7,"")</f>
        <v/>
      </c>
      <c r="E7" t="str">
        <f>HojaPrincipal!$A$18 &amp; "." &amp;
TEXT(ROUND(A7*10,0),"0000") &amp;
"-" &amp;
TEXT(ROUND(C7*10,0),"0000")</f>
        <v>002A.002.0269-0223</v>
      </c>
      <c r="F7" t="str">
        <f>IF(A7=HojaPrincipal!$D$17,C7,"")</f>
        <v/>
      </c>
      <c r="G7" t="str">
        <f>IF(A7=HojaPrincipal!$F$4,B7,"")</f>
        <v/>
      </c>
    </row>
    <row r="8" spans="1:7" x14ac:dyDescent="0.25">
      <c r="A8">
        <v>26.9</v>
      </c>
      <c r="B8">
        <v>2.6</v>
      </c>
      <c r="C8">
        <f>Lissta_tubos__2[[#This Row],[D_exterior_mm]]-(2*Lissta_tubos__2[[#This Row],[Espesor_mm]])</f>
        <v>21.7</v>
      </c>
      <c r="D8" t="str">
        <f>IF(C8&gt;=HojaPrincipal!$F$9,A8,"")</f>
        <v/>
      </c>
      <c r="E8" t="str">
        <f>HojaPrincipal!$A$18 &amp; "." &amp;
TEXT(ROUND(A8*10,0),"0000") &amp;
"-" &amp;
TEXT(ROUND(C8*10,0),"0000")</f>
        <v>002A.002.0269-0217</v>
      </c>
      <c r="F8" t="str">
        <f>IF(A8=HojaPrincipal!$D$17,C8,"")</f>
        <v/>
      </c>
      <c r="G8" t="str">
        <f>IF(A8=HojaPrincipal!$F$4,B8,"")</f>
        <v/>
      </c>
    </row>
    <row r="9" spans="1:7" x14ac:dyDescent="0.25">
      <c r="A9">
        <v>26.9</v>
      </c>
      <c r="B9">
        <v>3</v>
      </c>
      <c r="C9">
        <f>Lissta_tubos__2[[#This Row],[D_exterior_mm]]-(2*Lissta_tubos__2[[#This Row],[Espesor_mm]])</f>
        <v>20.9</v>
      </c>
      <c r="D9" t="str">
        <f>IF(C9&gt;=HojaPrincipal!$F$9,A9,"")</f>
        <v/>
      </c>
      <c r="E9" t="str">
        <f>HojaPrincipal!$A$18 &amp; "." &amp;
TEXT(ROUND(A9*10,0),"0000") &amp;
"-" &amp;
TEXT(ROUND(C9*10,0),"0000")</f>
        <v>002A.002.0269-0209</v>
      </c>
      <c r="F9" t="str">
        <f>IF(A9=HojaPrincipal!$D$17,C9,"")</f>
        <v/>
      </c>
      <c r="G9" t="str">
        <f>IF(A9=HojaPrincipal!$F$4,B9,"")</f>
        <v/>
      </c>
    </row>
    <row r="10" spans="1:7" x14ac:dyDescent="0.25">
      <c r="A10">
        <v>26.9</v>
      </c>
      <c r="B10">
        <v>3.2</v>
      </c>
      <c r="C10">
        <f>Lissta_tubos__2[[#This Row],[D_exterior_mm]]-(2*Lissta_tubos__2[[#This Row],[Espesor_mm]])</f>
        <v>20.5</v>
      </c>
      <c r="D10" t="str">
        <f>IF(C10&gt;=HojaPrincipal!$F$9,A10,"")</f>
        <v/>
      </c>
      <c r="E10" t="str">
        <f>HojaPrincipal!$A$18 &amp; "." &amp;
TEXT(ROUND(A10*10,0),"0000") &amp;
"-" &amp;
TEXT(ROUND(C10*10,0),"0000")</f>
        <v>002A.002.0269-0205</v>
      </c>
      <c r="F10" t="str">
        <f>IF(A10=HojaPrincipal!$D$17,C10,"")</f>
        <v/>
      </c>
      <c r="G10" t="str">
        <f>IF(A10=HojaPrincipal!$F$4,B10,"")</f>
        <v/>
      </c>
    </row>
    <row r="11" spans="1:7" x14ac:dyDescent="0.25">
      <c r="A11">
        <v>33.700000000000003</v>
      </c>
      <c r="B11">
        <v>2</v>
      </c>
      <c r="C11">
        <f>Lissta_tubos__2[[#This Row],[D_exterior_mm]]-(2*Lissta_tubos__2[[#This Row],[Espesor_mm]])</f>
        <v>29.700000000000003</v>
      </c>
      <c r="D11" t="str">
        <f>IF(C11&gt;=HojaPrincipal!$F$9,A11,"")</f>
        <v/>
      </c>
      <c r="E11" t="str">
        <f>HojaPrincipal!$A$18 &amp; "." &amp;
TEXT(ROUND(A11*10,0),"0000") &amp;
"-" &amp;
TEXT(ROUND(C11*10,0),"0000")</f>
        <v>002A.002.0337-0297</v>
      </c>
      <c r="F11" t="str">
        <f>IF(A11=HojaPrincipal!$D$17,C11,"")</f>
        <v/>
      </c>
      <c r="G11" t="str">
        <f>IF(A11=HojaPrincipal!$F$4,B11,"")</f>
        <v/>
      </c>
    </row>
    <row r="12" spans="1:7" x14ac:dyDescent="0.25">
      <c r="A12">
        <v>33.700000000000003</v>
      </c>
      <c r="B12">
        <v>2.2999999999999998</v>
      </c>
      <c r="C12">
        <f>Lissta_tubos__2[[#This Row],[D_exterior_mm]]-(2*Lissta_tubos__2[[#This Row],[Espesor_mm]])</f>
        <v>29.1</v>
      </c>
      <c r="D12" t="str">
        <f>IF(C12&gt;=HojaPrincipal!$F$9,A12,"")</f>
        <v/>
      </c>
      <c r="E12" t="str">
        <f>HojaPrincipal!$A$18 &amp; "." &amp;
TEXT(ROUND(A12*10,0),"0000") &amp;
"-" &amp;
TEXT(ROUND(C12*10,0),"0000")</f>
        <v>002A.002.0337-0291</v>
      </c>
      <c r="F12" t="str">
        <f>IF(A12=HojaPrincipal!$D$17,C12,"")</f>
        <v/>
      </c>
      <c r="G12" t="str">
        <f>IF(A12=HojaPrincipal!$F$4,B12,"")</f>
        <v/>
      </c>
    </row>
    <row r="13" spans="1:7" x14ac:dyDescent="0.25">
      <c r="A13">
        <v>33.700000000000003</v>
      </c>
      <c r="B13">
        <v>2.6</v>
      </c>
      <c r="C13">
        <f>Lissta_tubos__2[[#This Row],[D_exterior_mm]]-(2*Lissta_tubos__2[[#This Row],[Espesor_mm]])</f>
        <v>28.500000000000004</v>
      </c>
      <c r="D13" t="str">
        <f>IF(C13&gt;=HojaPrincipal!$F$9,A13,"")</f>
        <v/>
      </c>
      <c r="E13" t="str">
        <f>HojaPrincipal!$A$18 &amp; "." &amp;
TEXT(ROUND(A13*10,0),"0000") &amp;
"-" &amp;
TEXT(ROUND(C13*10,0),"0000")</f>
        <v>002A.002.0337-0285</v>
      </c>
      <c r="F13" t="str">
        <f>IF(A13=HojaPrincipal!$D$17,C13,"")</f>
        <v/>
      </c>
      <c r="G13" t="str">
        <f>IF(A13=HojaPrincipal!$F$4,B13,"")</f>
        <v/>
      </c>
    </row>
    <row r="14" spans="1:7" x14ac:dyDescent="0.25">
      <c r="A14">
        <v>33.700000000000003</v>
      </c>
      <c r="B14">
        <v>3</v>
      </c>
      <c r="C14">
        <f>Lissta_tubos__2[[#This Row],[D_exterior_mm]]-(2*Lissta_tubos__2[[#This Row],[Espesor_mm]])</f>
        <v>27.700000000000003</v>
      </c>
      <c r="D14" t="str">
        <f>IF(C14&gt;=HojaPrincipal!$F$9,A14,"")</f>
        <v/>
      </c>
      <c r="E14" t="str">
        <f>HojaPrincipal!$A$18 &amp; "." &amp;
TEXT(ROUND(A14*10,0),"0000") &amp;
"-" &amp;
TEXT(ROUND(C14*10,0),"0000")</f>
        <v>002A.002.0337-0277</v>
      </c>
      <c r="F14" t="str">
        <f>IF(A14=HojaPrincipal!$D$17,C14,"")</f>
        <v/>
      </c>
      <c r="G14" t="str">
        <f>IF(A14=HojaPrincipal!$F$4,B14,"")</f>
        <v/>
      </c>
    </row>
    <row r="15" spans="1:7" x14ac:dyDescent="0.25">
      <c r="A15">
        <v>33.700000000000003</v>
      </c>
      <c r="B15">
        <v>3.2</v>
      </c>
      <c r="C15">
        <f>Lissta_tubos__2[[#This Row],[D_exterior_mm]]-(2*Lissta_tubos__2[[#This Row],[Espesor_mm]])</f>
        <v>27.300000000000004</v>
      </c>
      <c r="D15" t="str">
        <f>IF(C15&gt;=HojaPrincipal!$F$9,A15,"")</f>
        <v/>
      </c>
      <c r="E15" t="str">
        <f>HojaPrincipal!$A$18 &amp; "." &amp;
TEXT(ROUND(A15*10,0),"0000") &amp;
"-" &amp;
TEXT(ROUND(C15*10,0),"0000")</f>
        <v>002A.002.0337-0273</v>
      </c>
      <c r="F15" t="str">
        <f>IF(A15=HojaPrincipal!$D$17,C15,"")</f>
        <v/>
      </c>
      <c r="G15" t="str">
        <f>IF(A15=HojaPrincipal!$F$4,B15,"")</f>
        <v/>
      </c>
    </row>
    <row r="16" spans="1:7" x14ac:dyDescent="0.25">
      <c r="A16">
        <v>33.700000000000003</v>
      </c>
      <c r="B16">
        <v>4</v>
      </c>
      <c r="C16">
        <f>Lissta_tubos__2[[#This Row],[D_exterior_mm]]-(2*Lissta_tubos__2[[#This Row],[Espesor_mm]])</f>
        <v>25.700000000000003</v>
      </c>
      <c r="D16" t="str">
        <f>IF(C16&gt;=HojaPrincipal!$F$9,A16,"")</f>
        <v/>
      </c>
      <c r="E16" t="str">
        <f>HojaPrincipal!$A$18 &amp; "." &amp;
TEXT(ROUND(A16*10,0),"0000") &amp;
"-" &amp;
TEXT(ROUND(C16*10,0),"0000")</f>
        <v>002A.002.0337-0257</v>
      </c>
      <c r="F16" t="str">
        <f>IF(A16=HojaPrincipal!$D$17,C16,"")</f>
        <v/>
      </c>
      <c r="G16" t="str">
        <f>IF(A16=HojaPrincipal!$F$4,B16,"")</f>
        <v/>
      </c>
    </row>
    <row r="17" spans="1:7" x14ac:dyDescent="0.25">
      <c r="A17">
        <v>42.4</v>
      </c>
      <c r="B17">
        <v>2</v>
      </c>
      <c r="C17">
        <f>Lissta_tubos__2[[#This Row],[D_exterior_mm]]-(2*Lissta_tubos__2[[#This Row],[Espesor_mm]])</f>
        <v>38.4</v>
      </c>
      <c r="D17" t="str">
        <f>IF(C17&gt;=HojaPrincipal!$F$9,A17,"")</f>
        <v/>
      </c>
      <c r="E17" t="str">
        <f>HojaPrincipal!$A$18 &amp; "." &amp;
TEXT(ROUND(A17*10,0),"0000") &amp;
"-" &amp;
TEXT(ROUND(C17*10,0),"0000")</f>
        <v>002A.002.0424-0384</v>
      </c>
      <c r="F17" t="str">
        <f>IF(A17=HojaPrincipal!$D$17,C17,"")</f>
        <v/>
      </c>
      <c r="G17" t="str">
        <f>IF(A17=HojaPrincipal!$F$4,B17,"")</f>
        <v/>
      </c>
    </row>
    <row r="18" spans="1:7" x14ac:dyDescent="0.25">
      <c r="A18">
        <v>42.4</v>
      </c>
      <c r="B18">
        <v>2.2999999999999998</v>
      </c>
      <c r="C18">
        <f>Lissta_tubos__2[[#This Row],[D_exterior_mm]]-(2*Lissta_tubos__2[[#This Row],[Espesor_mm]])</f>
        <v>37.799999999999997</v>
      </c>
      <c r="D18" t="str">
        <f>IF(C18&gt;=HojaPrincipal!$F$9,A18,"")</f>
        <v/>
      </c>
      <c r="E18" t="str">
        <f>HojaPrincipal!$A$18 &amp; "." &amp;
TEXT(ROUND(A18*10,0),"0000") &amp;
"-" &amp;
TEXT(ROUND(C18*10,0),"0000")</f>
        <v>002A.002.0424-0378</v>
      </c>
      <c r="F18" t="str">
        <f>IF(A18=HojaPrincipal!$D$17,C18,"")</f>
        <v/>
      </c>
      <c r="G18" t="str">
        <f>IF(A18=HojaPrincipal!$F$4,B18,"")</f>
        <v/>
      </c>
    </row>
    <row r="19" spans="1:7" x14ac:dyDescent="0.25">
      <c r="A19">
        <v>42.4</v>
      </c>
      <c r="B19">
        <v>2.6</v>
      </c>
      <c r="C19">
        <f>Lissta_tubos__2[[#This Row],[D_exterior_mm]]-(2*Lissta_tubos__2[[#This Row],[Espesor_mm]])</f>
        <v>37.199999999999996</v>
      </c>
      <c r="D19" t="str">
        <f>IF(C19&gt;=HojaPrincipal!$F$9,A19,"")</f>
        <v/>
      </c>
      <c r="E19" t="str">
        <f>HojaPrincipal!$A$18 &amp; "." &amp;
TEXT(ROUND(A19*10,0),"0000") &amp;
"-" &amp;
TEXT(ROUND(C19*10,0),"0000")</f>
        <v>002A.002.0424-0372</v>
      </c>
      <c r="F19" t="str">
        <f>IF(A19=HojaPrincipal!$D$17,C19,"")</f>
        <v/>
      </c>
      <c r="G19" t="str">
        <f>IF(A19=HojaPrincipal!$F$4,B19,"")</f>
        <v/>
      </c>
    </row>
    <row r="20" spans="1:7" x14ac:dyDescent="0.25">
      <c r="A20">
        <v>42.4</v>
      </c>
      <c r="B20">
        <v>3</v>
      </c>
      <c r="C20">
        <f>Lissta_tubos__2[[#This Row],[D_exterior_mm]]-(2*Lissta_tubos__2[[#This Row],[Espesor_mm]])</f>
        <v>36.4</v>
      </c>
      <c r="D20" t="str">
        <f>IF(C20&gt;=HojaPrincipal!$F$9,A20,"")</f>
        <v/>
      </c>
      <c r="E20" t="str">
        <f>HojaPrincipal!$A$18 &amp; "." &amp;
TEXT(ROUND(A20*10,0),"0000") &amp;
"-" &amp;
TEXT(ROUND(C20*10,0),"0000")</f>
        <v>002A.002.0424-0364</v>
      </c>
      <c r="F20" t="str">
        <f>IF(A20=HojaPrincipal!$D$17,C20,"")</f>
        <v/>
      </c>
      <c r="G20" t="str">
        <f>IF(A20=HojaPrincipal!$F$4,B20,"")</f>
        <v/>
      </c>
    </row>
    <row r="21" spans="1:7" x14ac:dyDescent="0.25">
      <c r="A21">
        <v>42.4</v>
      </c>
      <c r="B21">
        <v>3.2</v>
      </c>
      <c r="C21">
        <f>Lissta_tubos__2[[#This Row],[D_exterior_mm]]-(2*Lissta_tubos__2[[#This Row],[Espesor_mm]])</f>
        <v>36</v>
      </c>
      <c r="D21" t="str">
        <f>IF(C21&gt;=HojaPrincipal!$F$9,A21,"")</f>
        <v/>
      </c>
      <c r="E21" t="str">
        <f>HojaPrincipal!$A$18 &amp; "." &amp;
TEXT(ROUND(A21*10,0),"0000") &amp;
"-" &amp;
TEXT(ROUND(C21*10,0),"0000")</f>
        <v>002A.002.0424-0360</v>
      </c>
      <c r="F21" t="str">
        <f>IF(A21=HojaPrincipal!$D$17,C21,"")</f>
        <v/>
      </c>
      <c r="G21" t="str">
        <f>IF(A21=HojaPrincipal!$F$4,B21,"")</f>
        <v/>
      </c>
    </row>
    <row r="22" spans="1:7" x14ac:dyDescent="0.25">
      <c r="A22">
        <v>42.4</v>
      </c>
      <c r="B22">
        <v>4</v>
      </c>
      <c r="C22">
        <f>Lissta_tubos__2[[#This Row],[D_exterior_mm]]-(2*Lissta_tubos__2[[#This Row],[Espesor_mm]])</f>
        <v>34.4</v>
      </c>
      <c r="D22" t="str">
        <f>IF(C22&gt;=HojaPrincipal!$F$9,A22,"")</f>
        <v/>
      </c>
      <c r="E22" t="str">
        <f>HojaPrincipal!$A$18 &amp; "." &amp;
TEXT(ROUND(A22*10,0),"0000") &amp;
"-" &amp;
TEXT(ROUND(C22*10,0),"0000")</f>
        <v>002A.002.0424-0344</v>
      </c>
      <c r="F22" t="str">
        <f>IF(A22=HojaPrincipal!$D$17,C22,"")</f>
        <v/>
      </c>
      <c r="G22" t="str">
        <f>IF(A22=HojaPrincipal!$F$4,B22,"")</f>
        <v/>
      </c>
    </row>
    <row r="23" spans="1:7" x14ac:dyDescent="0.25">
      <c r="A23">
        <v>48.3</v>
      </c>
      <c r="B23">
        <v>2</v>
      </c>
      <c r="C23">
        <f>Lissta_tubos__2[[#This Row],[D_exterior_mm]]-(2*Lissta_tubos__2[[#This Row],[Espesor_mm]])</f>
        <v>44.3</v>
      </c>
      <c r="D23" t="str">
        <f>IF(C23&gt;=HojaPrincipal!$F$9,A23,"")</f>
        <v/>
      </c>
      <c r="E23" t="str">
        <f>HojaPrincipal!$A$18 &amp; "." &amp;
TEXT(ROUND(A23*10,0),"0000") &amp;
"-" &amp;
TEXT(ROUND(C23*10,0),"0000")</f>
        <v>002A.002.0483-0443</v>
      </c>
      <c r="F23" t="str">
        <f>IF(A23=HojaPrincipal!$D$17,C23,"")</f>
        <v/>
      </c>
      <c r="G23" t="str">
        <f>IF(A23=HojaPrincipal!$F$4,B23,"")</f>
        <v/>
      </c>
    </row>
    <row r="24" spans="1:7" x14ac:dyDescent="0.25">
      <c r="A24">
        <v>48.3</v>
      </c>
      <c r="B24">
        <v>2.2999999999999998</v>
      </c>
      <c r="C24">
        <f>Lissta_tubos__2[[#This Row],[D_exterior_mm]]-(2*Lissta_tubos__2[[#This Row],[Espesor_mm]])</f>
        <v>43.699999999999996</v>
      </c>
      <c r="D24" t="str">
        <f>IF(C24&gt;=HojaPrincipal!$F$9,A24,"")</f>
        <v/>
      </c>
      <c r="E24" t="str">
        <f>HojaPrincipal!$A$18 &amp; "." &amp;
TEXT(ROUND(A24*10,0),"0000") &amp;
"-" &amp;
TEXT(ROUND(C24*10,0),"0000")</f>
        <v>002A.002.0483-0437</v>
      </c>
      <c r="F24" t="str">
        <f>IF(A24=HojaPrincipal!$D$17,C24,"")</f>
        <v/>
      </c>
      <c r="G24" t="str">
        <f>IF(A24=HojaPrincipal!$F$4,B24,"")</f>
        <v/>
      </c>
    </row>
    <row r="25" spans="1:7" x14ac:dyDescent="0.25">
      <c r="A25">
        <v>48.3</v>
      </c>
      <c r="B25">
        <v>2.6</v>
      </c>
      <c r="C25">
        <f>Lissta_tubos__2[[#This Row],[D_exterior_mm]]-(2*Lissta_tubos__2[[#This Row],[Espesor_mm]])</f>
        <v>43.099999999999994</v>
      </c>
      <c r="D25" t="str">
        <f>IF(C25&gt;=HojaPrincipal!$F$9,A25,"")</f>
        <v/>
      </c>
      <c r="E25" t="str">
        <f>HojaPrincipal!$A$18 &amp; "." &amp;
TEXT(ROUND(A25*10,0),"0000") &amp;
"-" &amp;
TEXT(ROUND(C25*10,0),"0000")</f>
        <v>002A.002.0483-0431</v>
      </c>
      <c r="F25" t="str">
        <f>IF(A25=HojaPrincipal!$D$17,C25,"")</f>
        <v/>
      </c>
      <c r="G25" t="str">
        <f>IF(A25=HojaPrincipal!$F$4,B25,"")</f>
        <v/>
      </c>
    </row>
    <row r="26" spans="1:7" x14ac:dyDescent="0.25">
      <c r="A26">
        <v>48.3</v>
      </c>
      <c r="B26">
        <v>3</v>
      </c>
      <c r="C26">
        <f>Lissta_tubos__2[[#This Row],[D_exterior_mm]]-(2*Lissta_tubos__2[[#This Row],[Espesor_mm]])</f>
        <v>42.3</v>
      </c>
      <c r="D26" t="str">
        <f>IF(C26&gt;=HojaPrincipal!$F$9,A26,"")</f>
        <v/>
      </c>
      <c r="E26" t="str">
        <f>HojaPrincipal!$A$18 &amp; "." &amp;
TEXT(ROUND(A26*10,0),"0000") &amp;
"-" &amp;
TEXT(ROUND(C26*10,0),"0000")</f>
        <v>002A.002.0483-0423</v>
      </c>
      <c r="F26" t="str">
        <f>IF(A26=HojaPrincipal!$D$17,C26,"")</f>
        <v/>
      </c>
      <c r="G26" t="str">
        <f>IF(A26=HojaPrincipal!$F$4,B26,"")</f>
        <v/>
      </c>
    </row>
    <row r="27" spans="1:7" x14ac:dyDescent="0.25">
      <c r="A27">
        <v>48.3</v>
      </c>
      <c r="B27">
        <v>3.2</v>
      </c>
      <c r="C27">
        <f>Lissta_tubos__2[[#This Row],[D_exterior_mm]]-(2*Lissta_tubos__2[[#This Row],[Espesor_mm]])</f>
        <v>41.9</v>
      </c>
      <c r="D27" t="str">
        <f>IF(C27&gt;=HojaPrincipal!$F$9,A27,"")</f>
        <v/>
      </c>
      <c r="E27" t="str">
        <f>HojaPrincipal!$A$18 &amp; "." &amp;
TEXT(ROUND(A27*10,0),"0000") &amp;
"-" &amp;
TEXT(ROUND(C27*10,0),"0000")</f>
        <v>002A.002.0483-0419</v>
      </c>
      <c r="F27" t="str">
        <f>IF(A27=HojaPrincipal!$D$17,C27,"")</f>
        <v/>
      </c>
      <c r="G27" t="str">
        <f>IF(A27=HojaPrincipal!$F$4,B27,"")</f>
        <v/>
      </c>
    </row>
    <row r="28" spans="1:7" x14ac:dyDescent="0.25">
      <c r="A28">
        <v>48.3</v>
      </c>
      <c r="B28">
        <v>4</v>
      </c>
      <c r="C28">
        <f>Lissta_tubos__2[[#This Row],[D_exterior_mm]]-(2*Lissta_tubos__2[[#This Row],[Espesor_mm]])</f>
        <v>40.299999999999997</v>
      </c>
      <c r="D28" t="str">
        <f>IF(C28&gt;=HojaPrincipal!$F$9,A28,"")</f>
        <v/>
      </c>
      <c r="E28" t="str">
        <f>HojaPrincipal!$A$18 &amp; "." &amp;
TEXT(ROUND(A28*10,0),"0000") &amp;
"-" &amp;
TEXT(ROUND(C28*10,0),"0000")</f>
        <v>002A.002.0483-0403</v>
      </c>
      <c r="F28" t="str">
        <f>IF(A28=HojaPrincipal!$D$17,C28,"")</f>
        <v/>
      </c>
      <c r="G28" t="str">
        <f>IF(A28=HojaPrincipal!$F$4,B28,"")</f>
        <v/>
      </c>
    </row>
    <row r="29" spans="1:7" x14ac:dyDescent="0.25">
      <c r="A29">
        <v>48.3</v>
      </c>
      <c r="B29">
        <v>5</v>
      </c>
      <c r="C29">
        <f>Lissta_tubos__2[[#This Row],[D_exterior_mm]]-(2*Lissta_tubos__2[[#This Row],[Espesor_mm]])</f>
        <v>38.299999999999997</v>
      </c>
      <c r="D29" t="str">
        <f>IF(C29&gt;=HojaPrincipal!$F$9,A29,"")</f>
        <v/>
      </c>
      <c r="E29" t="str">
        <f>HojaPrincipal!$A$18 &amp; "." &amp;
TEXT(ROUND(A29*10,0),"0000") &amp;
"-" &amp;
TEXT(ROUND(C29*10,0),"0000")</f>
        <v>002A.002.0483-0383</v>
      </c>
      <c r="F29" t="str">
        <f>IF(A29=HojaPrincipal!$D$17,C29,"")</f>
        <v/>
      </c>
      <c r="G29" t="str">
        <f>IF(A29=HojaPrincipal!$F$4,B29,"")</f>
        <v/>
      </c>
    </row>
    <row r="30" spans="1:7" x14ac:dyDescent="0.25">
      <c r="A30">
        <v>60.3</v>
      </c>
      <c r="B30">
        <v>2.2999999999999998</v>
      </c>
      <c r="C30">
        <f>Lissta_tubos__2[[#This Row],[D_exterior_mm]]-(2*Lissta_tubos__2[[#This Row],[Espesor_mm]])</f>
        <v>55.699999999999996</v>
      </c>
      <c r="D30" t="str">
        <f>IF(C30&gt;=HojaPrincipal!$F$9,A30,"")</f>
        <v/>
      </c>
      <c r="E30" t="str">
        <f>HojaPrincipal!$A$18 &amp; "." &amp;
TEXT(ROUND(A30*10,0),"0000") &amp;
"-" &amp;
TEXT(ROUND(C30*10,0),"0000")</f>
        <v>002A.002.0603-0557</v>
      </c>
      <c r="F30" t="str">
        <f>IF(A30=HojaPrincipal!$D$17,C30,"")</f>
        <v/>
      </c>
      <c r="G30">
        <f>IF(A30=HojaPrincipal!$F$4,B30,"")</f>
        <v>2.2999999999999998</v>
      </c>
    </row>
    <row r="31" spans="1:7" x14ac:dyDescent="0.25">
      <c r="A31">
        <v>60.3</v>
      </c>
      <c r="B31">
        <v>2.6</v>
      </c>
      <c r="C31">
        <f>Lissta_tubos__2[[#This Row],[D_exterior_mm]]-(2*Lissta_tubos__2[[#This Row],[Espesor_mm]])</f>
        <v>55.099999999999994</v>
      </c>
      <c r="D31" t="str">
        <f>IF(C31&gt;=HojaPrincipal!$F$9,A31,"")</f>
        <v/>
      </c>
      <c r="E31" t="str">
        <f>HojaPrincipal!$A$18 &amp; "." &amp;
TEXT(ROUND(A31*10,0),"0000") &amp;
"-" &amp;
TEXT(ROUND(C31*10,0),"0000")</f>
        <v>002A.002.0603-0551</v>
      </c>
      <c r="F31" t="str">
        <f>IF(A31=HojaPrincipal!$D$17,C31,"")</f>
        <v/>
      </c>
      <c r="G31">
        <f>IF(A31=HojaPrincipal!$F$4,B31,"")</f>
        <v>2.6</v>
      </c>
    </row>
    <row r="32" spans="1:7" x14ac:dyDescent="0.25">
      <c r="A32">
        <v>60.3</v>
      </c>
      <c r="B32">
        <v>3</v>
      </c>
      <c r="C32">
        <f>Lissta_tubos__2[[#This Row],[D_exterior_mm]]-(2*Lissta_tubos__2[[#This Row],[Espesor_mm]])</f>
        <v>54.3</v>
      </c>
      <c r="D32" t="str">
        <f>IF(C32&gt;=HojaPrincipal!$F$9,A32,"")</f>
        <v/>
      </c>
      <c r="E32" t="str">
        <f>HojaPrincipal!$A$18 &amp; "." &amp;
TEXT(ROUND(A32*10,0),"0000") &amp;
"-" &amp;
TEXT(ROUND(C32*10,0),"0000")</f>
        <v>002A.002.0603-0543</v>
      </c>
      <c r="F32" t="str">
        <f>IF(A32=HojaPrincipal!$D$17,C32,"")</f>
        <v/>
      </c>
      <c r="G32">
        <f>IF(A32=HojaPrincipal!$F$4,B32,"")</f>
        <v>3</v>
      </c>
    </row>
    <row r="33" spans="1:7" x14ac:dyDescent="0.25">
      <c r="A33">
        <v>60.3</v>
      </c>
      <c r="B33">
        <v>3.2</v>
      </c>
      <c r="C33">
        <f>Lissta_tubos__2[[#This Row],[D_exterior_mm]]-(2*Lissta_tubos__2[[#This Row],[Espesor_mm]])</f>
        <v>53.9</v>
      </c>
      <c r="D33" t="str">
        <f>IF(C33&gt;=HojaPrincipal!$F$9,A33,"")</f>
        <v/>
      </c>
      <c r="E33" t="str">
        <f>HojaPrincipal!$A$18 &amp; "." &amp;
TEXT(ROUND(A33*10,0),"0000") &amp;
"-" &amp;
TEXT(ROUND(C33*10,0),"0000")</f>
        <v>002A.002.0603-0539</v>
      </c>
      <c r="F33" t="str">
        <f>IF(A33=HojaPrincipal!$D$17,C33,"")</f>
        <v/>
      </c>
      <c r="G33">
        <f>IF(A33=HojaPrincipal!$F$4,B33,"")</f>
        <v>3.2</v>
      </c>
    </row>
    <row r="34" spans="1:7" x14ac:dyDescent="0.25">
      <c r="A34">
        <v>60.3</v>
      </c>
      <c r="B34">
        <v>4</v>
      </c>
      <c r="C34">
        <f>Lissta_tubos__2[[#This Row],[D_exterior_mm]]-(2*Lissta_tubos__2[[#This Row],[Espesor_mm]])</f>
        <v>52.3</v>
      </c>
      <c r="D34" t="str">
        <f>IF(C34&gt;=HojaPrincipal!$F$9,A34,"")</f>
        <v/>
      </c>
      <c r="E34" t="str">
        <f>HojaPrincipal!$A$18 &amp; "." &amp;
TEXT(ROUND(A34*10,0),"0000") &amp;
"-" &amp;
TEXT(ROUND(C34*10,0),"0000")</f>
        <v>002A.002.0603-0523</v>
      </c>
      <c r="F34" t="str">
        <f>IF(A34=HojaPrincipal!$D$17,C34,"")</f>
        <v/>
      </c>
      <c r="G34">
        <f>IF(A34=HojaPrincipal!$F$4,B34,"")</f>
        <v>4</v>
      </c>
    </row>
    <row r="35" spans="1:7" x14ac:dyDescent="0.25">
      <c r="A35">
        <v>60.3</v>
      </c>
      <c r="B35">
        <v>5</v>
      </c>
      <c r="C35">
        <f>Lissta_tubos__2[[#This Row],[D_exterior_mm]]-(2*Lissta_tubos__2[[#This Row],[Espesor_mm]])</f>
        <v>50.3</v>
      </c>
      <c r="D35" t="str">
        <f>IF(C35&gt;=HojaPrincipal!$F$9,A35,"")</f>
        <v/>
      </c>
      <c r="E35" t="str">
        <f>HojaPrincipal!$A$18 &amp; "." &amp;
TEXT(ROUND(A35*10,0),"0000") &amp;
"-" &amp;
TEXT(ROUND(C35*10,0),"0000")</f>
        <v>002A.002.0603-0503</v>
      </c>
      <c r="F35" t="str">
        <f>IF(A35=HojaPrincipal!$D$17,C35,"")</f>
        <v/>
      </c>
      <c r="G35">
        <f>IF(A35=HojaPrincipal!$F$4,B35,"")</f>
        <v>5</v>
      </c>
    </row>
    <row r="36" spans="1:7" x14ac:dyDescent="0.25">
      <c r="A36">
        <v>60.3</v>
      </c>
      <c r="B36">
        <v>6.3</v>
      </c>
      <c r="C36">
        <f>Lissta_tubos__2[[#This Row],[D_exterior_mm]]-(2*Lissta_tubos__2[[#This Row],[Espesor_mm]])</f>
        <v>47.699999999999996</v>
      </c>
      <c r="D36" t="str">
        <f>IF(C36&gt;=HojaPrincipal!$F$9,A36,"")</f>
        <v/>
      </c>
      <c r="E36" t="str">
        <f>HojaPrincipal!$A$18 &amp; "." &amp;
TEXT(ROUND(A36*10,0),"0000") &amp;
"-" &amp;
TEXT(ROUND(C36*10,0),"0000")</f>
        <v>002A.002.0603-0477</v>
      </c>
      <c r="F36" t="str">
        <f>IF(A36=HojaPrincipal!$D$17,C36,"")</f>
        <v/>
      </c>
      <c r="G36">
        <f>IF(A36=HojaPrincipal!$F$4,B36,"")</f>
        <v>6.3</v>
      </c>
    </row>
    <row r="37" spans="1:7" x14ac:dyDescent="0.25">
      <c r="A37">
        <v>76.099999999999994</v>
      </c>
      <c r="B37">
        <v>2.6</v>
      </c>
      <c r="C37">
        <f>Lissta_tubos__2[[#This Row],[D_exterior_mm]]-(2*Lissta_tubos__2[[#This Row],[Espesor_mm]])</f>
        <v>70.899999999999991</v>
      </c>
      <c r="D37" t="str">
        <f>IF(C37&gt;=HojaPrincipal!$F$9,A37,"")</f>
        <v/>
      </c>
      <c r="E37" t="str">
        <f>HojaPrincipal!$A$18 &amp; "." &amp;
TEXT(ROUND(A37*10,0),"0000") &amp;
"-" &amp;
TEXT(ROUND(C37*10,0),"0000")</f>
        <v>002A.002.0761-0709</v>
      </c>
      <c r="F37" t="str">
        <f>IF(A37=HojaPrincipal!$D$17,C37,"")</f>
        <v/>
      </c>
      <c r="G37" t="str">
        <f>IF(A37=HojaPrincipal!$F$4,B37,"")</f>
        <v/>
      </c>
    </row>
    <row r="38" spans="1:7" x14ac:dyDescent="0.25">
      <c r="A38">
        <v>76.099999999999994</v>
      </c>
      <c r="B38">
        <v>3</v>
      </c>
      <c r="C38">
        <f>Lissta_tubos__2[[#This Row],[D_exterior_mm]]-(2*Lissta_tubos__2[[#This Row],[Espesor_mm]])</f>
        <v>70.099999999999994</v>
      </c>
      <c r="D38" t="str">
        <f>IF(C38&gt;=HojaPrincipal!$F$9,A38,"")</f>
        <v/>
      </c>
      <c r="E38" t="str">
        <f>HojaPrincipal!$A$18 &amp; "." &amp;
TEXT(ROUND(A38*10,0),"0000") &amp;
"-" &amp;
TEXT(ROUND(C38*10,0),"0000")</f>
        <v>002A.002.0761-0701</v>
      </c>
      <c r="F38" t="str">
        <f>IF(A38=HojaPrincipal!$D$17,C38,"")</f>
        <v/>
      </c>
      <c r="G38" t="str">
        <f>IF(A38=HojaPrincipal!$F$4,B38,"")</f>
        <v/>
      </c>
    </row>
    <row r="39" spans="1:7" x14ac:dyDescent="0.25">
      <c r="A39">
        <v>76.099999999999994</v>
      </c>
      <c r="B39">
        <v>3.2</v>
      </c>
      <c r="C39">
        <f>Lissta_tubos__2[[#This Row],[D_exterior_mm]]-(2*Lissta_tubos__2[[#This Row],[Espesor_mm]])</f>
        <v>69.699999999999989</v>
      </c>
      <c r="D39" t="str">
        <f>IF(C39&gt;=HojaPrincipal!$F$9,A39,"")</f>
        <v/>
      </c>
      <c r="E39" t="str">
        <f>HojaPrincipal!$A$18 &amp; "." &amp;
TEXT(ROUND(A39*10,0),"0000") &amp;
"-" &amp;
TEXT(ROUND(C39*10,0),"0000")</f>
        <v>002A.002.0761-0697</v>
      </c>
      <c r="F39" t="str">
        <f>IF(A39=HojaPrincipal!$D$17,C39,"")</f>
        <v/>
      </c>
      <c r="G39" t="str">
        <f>IF(A39=HojaPrincipal!$F$4,B39,"")</f>
        <v/>
      </c>
    </row>
    <row r="40" spans="1:7" x14ac:dyDescent="0.25">
      <c r="A40">
        <v>76.099999999999994</v>
      </c>
      <c r="B40">
        <v>4</v>
      </c>
      <c r="C40">
        <f>Lissta_tubos__2[[#This Row],[D_exterior_mm]]-(2*Lissta_tubos__2[[#This Row],[Espesor_mm]])</f>
        <v>68.099999999999994</v>
      </c>
      <c r="D40" t="str">
        <f>IF(C40&gt;=HojaPrincipal!$F$9,A40,"")</f>
        <v/>
      </c>
      <c r="E40" t="str">
        <f>HojaPrincipal!$A$18 &amp; "." &amp;
TEXT(ROUND(A40*10,0),"0000") &amp;
"-" &amp;
TEXT(ROUND(C40*10,0),"0000")</f>
        <v>002A.002.0761-0681</v>
      </c>
      <c r="F40" t="str">
        <f>IF(A40=HojaPrincipal!$D$17,C40,"")</f>
        <v/>
      </c>
      <c r="G40" t="str">
        <f>IF(A40=HojaPrincipal!$F$4,B40,"")</f>
        <v/>
      </c>
    </row>
    <row r="41" spans="1:7" x14ac:dyDescent="0.25">
      <c r="A41">
        <v>76.099999999999994</v>
      </c>
      <c r="B41">
        <v>5</v>
      </c>
      <c r="C41">
        <f>Lissta_tubos__2[[#This Row],[D_exterior_mm]]-(2*Lissta_tubos__2[[#This Row],[Espesor_mm]])</f>
        <v>66.099999999999994</v>
      </c>
      <c r="D41" t="str">
        <f>IF(C41&gt;=HojaPrincipal!$F$9,A41,"")</f>
        <v/>
      </c>
      <c r="E41" t="str">
        <f>HojaPrincipal!$A$18 &amp; "." &amp;
TEXT(ROUND(A41*10,0),"0000") &amp;
"-" &amp;
TEXT(ROUND(C41*10,0),"0000")</f>
        <v>002A.002.0761-0661</v>
      </c>
      <c r="F41" t="str">
        <f>IF(A41=HojaPrincipal!$D$17,C41,"")</f>
        <v/>
      </c>
      <c r="G41" t="str">
        <f>IF(A41=HojaPrincipal!$F$4,B41,"")</f>
        <v/>
      </c>
    </row>
    <row r="42" spans="1:7" x14ac:dyDescent="0.25">
      <c r="A42">
        <v>76.099999999999994</v>
      </c>
      <c r="B42">
        <v>6.3</v>
      </c>
      <c r="C42">
        <f>Lissta_tubos__2[[#This Row],[D_exterior_mm]]-(2*Lissta_tubos__2[[#This Row],[Espesor_mm]])</f>
        <v>63.499999999999993</v>
      </c>
      <c r="D42" t="str">
        <f>IF(C42&gt;=HojaPrincipal!$F$9,A42,"")</f>
        <v/>
      </c>
      <c r="E42" t="str">
        <f>HojaPrincipal!$A$18 &amp; "." &amp;
TEXT(ROUND(A42*10,0),"0000") &amp;
"-" &amp;
TEXT(ROUND(C42*10,0),"0000")</f>
        <v>002A.002.0761-0635</v>
      </c>
      <c r="F42" t="str">
        <f>IF(A42=HojaPrincipal!$D$17,C42,"")</f>
        <v/>
      </c>
      <c r="G42" t="str">
        <f>IF(A42=HojaPrincipal!$F$4,B42,"")</f>
        <v/>
      </c>
    </row>
    <row r="43" spans="1:7" x14ac:dyDescent="0.25">
      <c r="A43">
        <v>88.9</v>
      </c>
      <c r="B43">
        <v>3</v>
      </c>
      <c r="C43">
        <f>Lissta_tubos__2[[#This Row],[D_exterior_mm]]-(2*Lissta_tubos__2[[#This Row],[Espesor_mm]])</f>
        <v>82.9</v>
      </c>
      <c r="D43" t="str">
        <f>IF(C43&gt;=HojaPrincipal!$F$9,A43,"")</f>
        <v/>
      </c>
      <c r="E43" t="str">
        <f>HojaPrincipal!$A$18 &amp; "." &amp;
TEXT(ROUND(A43*10,0),"0000") &amp;
"-" &amp;
TEXT(ROUND(C43*10,0),"0000")</f>
        <v>002A.002.0889-0829</v>
      </c>
      <c r="F43" t="str">
        <f>IF(A43=HojaPrincipal!$D$17,C43,"")</f>
        <v/>
      </c>
      <c r="G43" t="str">
        <f>IF(A43=HojaPrincipal!$F$4,B43,"")</f>
        <v/>
      </c>
    </row>
    <row r="44" spans="1:7" x14ac:dyDescent="0.25">
      <c r="A44">
        <v>88.9</v>
      </c>
      <c r="B44">
        <v>3.2</v>
      </c>
      <c r="C44">
        <f>Lissta_tubos__2[[#This Row],[D_exterior_mm]]-(2*Lissta_tubos__2[[#This Row],[Espesor_mm]])</f>
        <v>82.5</v>
      </c>
      <c r="D44" t="str">
        <f>IF(C44&gt;=HojaPrincipal!$F$9,A44,"")</f>
        <v/>
      </c>
      <c r="E44" t="str">
        <f>HojaPrincipal!$A$18 &amp; "." &amp;
TEXT(ROUND(A44*10,0),"0000") &amp;
"-" &amp;
TEXT(ROUND(C44*10,0),"0000")</f>
        <v>002A.002.0889-0825</v>
      </c>
      <c r="F44" t="str">
        <f>IF(A44=HojaPrincipal!$D$17,C44,"")</f>
        <v/>
      </c>
      <c r="G44" t="str">
        <f>IF(A44=HojaPrincipal!$F$4,B44,"")</f>
        <v/>
      </c>
    </row>
    <row r="45" spans="1:7" x14ac:dyDescent="0.25">
      <c r="A45">
        <v>88.9</v>
      </c>
      <c r="B45">
        <v>4</v>
      </c>
      <c r="C45">
        <f>Lissta_tubos__2[[#This Row],[D_exterior_mm]]-(2*Lissta_tubos__2[[#This Row],[Espesor_mm]])</f>
        <v>80.900000000000006</v>
      </c>
      <c r="D45" t="str">
        <f>IF(C45&gt;=HojaPrincipal!$F$9,A45,"")</f>
        <v/>
      </c>
      <c r="E45" t="str">
        <f>HojaPrincipal!$A$18 &amp; "." &amp;
TEXT(ROUND(A45*10,0),"0000") &amp;
"-" &amp;
TEXT(ROUND(C45*10,0),"0000")</f>
        <v>002A.002.0889-0809</v>
      </c>
      <c r="F45" t="str">
        <f>IF(A45=HojaPrincipal!$D$17,C45,"")</f>
        <v/>
      </c>
      <c r="G45" t="str">
        <f>IF(A45=HojaPrincipal!$F$4,B45,"")</f>
        <v/>
      </c>
    </row>
    <row r="46" spans="1:7" x14ac:dyDescent="0.25">
      <c r="A46">
        <v>88.9</v>
      </c>
      <c r="B46">
        <v>5</v>
      </c>
      <c r="C46">
        <f>Lissta_tubos__2[[#This Row],[D_exterior_mm]]-(2*Lissta_tubos__2[[#This Row],[Espesor_mm]])</f>
        <v>78.900000000000006</v>
      </c>
      <c r="D46" t="str">
        <f>IF(C46&gt;=HojaPrincipal!$F$9,A46,"")</f>
        <v/>
      </c>
      <c r="E46" t="str">
        <f>HojaPrincipal!$A$18 &amp; "." &amp;
TEXT(ROUND(A46*10,0),"0000") &amp;
"-" &amp;
TEXT(ROUND(C46*10,0),"0000")</f>
        <v>002A.002.0889-0789</v>
      </c>
      <c r="F46" t="str">
        <f>IF(A46=HojaPrincipal!$D$17,C46,"")</f>
        <v/>
      </c>
      <c r="G46" t="str">
        <f>IF(A46=HojaPrincipal!$F$4,B46,"")</f>
        <v/>
      </c>
    </row>
    <row r="47" spans="1:7" x14ac:dyDescent="0.25">
      <c r="A47">
        <v>88.9</v>
      </c>
      <c r="B47">
        <v>6.3</v>
      </c>
      <c r="C47">
        <f>Lissta_tubos__2[[#This Row],[D_exterior_mm]]-(2*Lissta_tubos__2[[#This Row],[Espesor_mm]])</f>
        <v>76.300000000000011</v>
      </c>
      <c r="D47" t="str">
        <f>IF(C47&gt;=HojaPrincipal!$F$9,A47,"")</f>
        <v/>
      </c>
      <c r="E47" t="str">
        <f>HojaPrincipal!$A$18 &amp; "." &amp;
TEXT(ROUND(A47*10,0),"0000") &amp;
"-" &amp;
TEXT(ROUND(C47*10,0),"0000")</f>
        <v>002A.002.0889-0763</v>
      </c>
      <c r="F47" t="str">
        <f>IF(A47=HojaPrincipal!$D$17,C47,"")</f>
        <v/>
      </c>
      <c r="G47" t="str">
        <f>IF(A47=HojaPrincipal!$F$4,B47,"")</f>
        <v/>
      </c>
    </row>
    <row r="48" spans="1:7" x14ac:dyDescent="0.25">
      <c r="A48">
        <v>101.6</v>
      </c>
      <c r="B48">
        <v>3</v>
      </c>
      <c r="C48">
        <f>Lissta_tubos__2[[#This Row],[D_exterior_mm]]-(2*Lissta_tubos__2[[#This Row],[Espesor_mm]])</f>
        <v>95.6</v>
      </c>
      <c r="D48" t="str">
        <f>IF(C48&gt;=HojaPrincipal!$F$9,A48,"")</f>
        <v/>
      </c>
      <c r="E48" t="str">
        <f>HojaPrincipal!$A$18 &amp; "." &amp;
TEXT(ROUND(A48*10,0),"0000") &amp;
"-" &amp;
TEXT(ROUND(C48*10,0),"0000")</f>
        <v>002A.002.1016-0956</v>
      </c>
      <c r="F48" t="str">
        <f>IF(A48=HojaPrincipal!$D$17,C48,"")</f>
        <v/>
      </c>
      <c r="G48" t="str">
        <f>IF(A48=HojaPrincipal!$F$4,B48,"")</f>
        <v/>
      </c>
    </row>
    <row r="49" spans="1:7" x14ac:dyDescent="0.25">
      <c r="A49">
        <v>101.6</v>
      </c>
      <c r="B49">
        <v>3.2</v>
      </c>
      <c r="C49">
        <f>Lissta_tubos__2[[#This Row],[D_exterior_mm]]-(2*Lissta_tubos__2[[#This Row],[Espesor_mm]])</f>
        <v>95.199999999999989</v>
      </c>
      <c r="D49" t="str">
        <f>IF(C49&gt;=HojaPrincipal!$F$9,A49,"")</f>
        <v/>
      </c>
      <c r="E49" t="str">
        <f>HojaPrincipal!$A$18 &amp; "." &amp;
TEXT(ROUND(A49*10,0),"0000") &amp;
"-" &amp;
TEXT(ROUND(C49*10,0),"0000")</f>
        <v>002A.002.1016-0952</v>
      </c>
      <c r="F49" t="str">
        <f>IF(A49=HojaPrincipal!$D$17,C49,"")</f>
        <v/>
      </c>
      <c r="G49" t="str">
        <f>IF(A49=HojaPrincipal!$F$4,B49,"")</f>
        <v/>
      </c>
    </row>
    <row r="50" spans="1:7" x14ac:dyDescent="0.25">
      <c r="A50">
        <v>101.6</v>
      </c>
      <c r="B50">
        <v>4</v>
      </c>
      <c r="C50">
        <f>Lissta_tubos__2[[#This Row],[D_exterior_mm]]-(2*Lissta_tubos__2[[#This Row],[Espesor_mm]])</f>
        <v>93.6</v>
      </c>
      <c r="D50" t="str">
        <f>IF(C50&gt;=HojaPrincipal!$F$9,A50,"")</f>
        <v/>
      </c>
      <c r="E50" t="str">
        <f>HojaPrincipal!$A$18 &amp; "." &amp;
TEXT(ROUND(A50*10,0),"0000") &amp;
"-" &amp;
TEXT(ROUND(C50*10,0),"0000")</f>
        <v>002A.002.1016-0936</v>
      </c>
      <c r="F50" t="str">
        <f>IF(A50=HojaPrincipal!$D$17,C50,"")</f>
        <v/>
      </c>
      <c r="G50" t="str">
        <f>IF(A50=HojaPrincipal!$F$4,B50,"")</f>
        <v/>
      </c>
    </row>
    <row r="51" spans="1:7" x14ac:dyDescent="0.25">
      <c r="A51">
        <v>101.6</v>
      </c>
      <c r="B51">
        <v>5</v>
      </c>
      <c r="C51">
        <f>Lissta_tubos__2[[#This Row],[D_exterior_mm]]-(2*Lissta_tubos__2[[#This Row],[Espesor_mm]])</f>
        <v>91.6</v>
      </c>
      <c r="D51" t="str">
        <f>IF(C51&gt;=HojaPrincipal!$F$9,A51,"")</f>
        <v/>
      </c>
      <c r="E51" t="str">
        <f>HojaPrincipal!$A$18 &amp; "." &amp;
TEXT(ROUND(A51*10,0),"0000") &amp;
"-" &amp;
TEXT(ROUND(C51*10,0),"0000")</f>
        <v>002A.002.1016-0916</v>
      </c>
      <c r="F51" t="str">
        <f>IF(A51=HojaPrincipal!$D$17,C51,"")</f>
        <v/>
      </c>
      <c r="G51" t="str">
        <f>IF(A51=HojaPrincipal!$F$4,B51,"")</f>
        <v/>
      </c>
    </row>
    <row r="52" spans="1:7" x14ac:dyDescent="0.25">
      <c r="A52">
        <v>101.6</v>
      </c>
      <c r="B52">
        <v>6.3</v>
      </c>
      <c r="C52">
        <f>Lissta_tubos__2[[#This Row],[D_exterior_mm]]-(2*Lissta_tubos__2[[#This Row],[Espesor_mm]])</f>
        <v>89</v>
      </c>
      <c r="D52" t="str">
        <f>IF(C52&gt;=HojaPrincipal!$F$9,A52,"")</f>
        <v/>
      </c>
      <c r="E52" t="str">
        <f>HojaPrincipal!$A$18 &amp; "." &amp;
TEXT(ROUND(A52*10,0),"0000") &amp;
"-" &amp;
TEXT(ROUND(C52*10,0),"0000")</f>
        <v>002A.002.1016-0890</v>
      </c>
      <c r="F52" t="str">
        <f>IF(A52=HojaPrincipal!$D$17,C52,"")</f>
        <v/>
      </c>
      <c r="G52" t="str">
        <f>IF(A52=HojaPrincipal!$F$4,B52,"")</f>
        <v/>
      </c>
    </row>
    <row r="53" spans="1:7" x14ac:dyDescent="0.25">
      <c r="A53">
        <v>114.3</v>
      </c>
      <c r="B53">
        <v>3.2</v>
      </c>
      <c r="C53">
        <f>Lissta_tubos__2[[#This Row],[D_exterior_mm]]-(2*Lissta_tubos__2[[#This Row],[Espesor_mm]])</f>
        <v>107.89999999999999</v>
      </c>
      <c r="D53" t="str">
        <f>IF(C53&gt;=HojaPrincipal!$F$9,A53,"")</f>
        <v/>
      </c>
      <c r="E53" t="str">
        <f>HojaPrincipal!$A$18 &amp; "." &amp;
TEXT(ROUND(A53*10,0),"0000") &amp;
"-" &amp;
TEXT(ROUND(C53*10,0),"0000")</f>
        <v>002A.002.1143-1079</v>
      </c>
      <c r="F53" t="str">
        <f>IF(A53=HojaPrincipal!$D$17,C53,"")</f>
        <v/>
      </c>
      <c r="G53" t="str">
        <f>IF(A53=HojaPrincipal!$F$4,B53,"")</f>
        <v/>
      </c>
    </row>
    <row r="54" spans="1:7" x14ac:dyDescent="0.25">
      <c r="A54">
        <v>114.3</v>
      </c>
      <c r="B54">
        <v>4</v>
      </c>
      <c r="C54">
        <f>Lissta_tubos__2[[#This Row],[D_exterior_mm]]-(2*Lissta_tubos__2[[#This Row],[Espesor_mm]])</f>
        <v>106.3</v>
      </c>
      <c r="D54" t="str">
        <f>IF(C54&gt;=HojaPrincipal!$F$9,A54,"")</f>
        <v/>
      </c>
      <c r="E54" t="str">
        <f>HojaPrincipal!$A$18 &amp; "." &amp;
TEXT(ROUND(A54*10,0),"0000") &amp;
"-" &amp;
TEXT(ROUND(C54*10,0),"0000")</f>
        <v>002A.002.1143-1063</v>
      </c>
      <c r="F54" t="str">
        <f>IF(A54=HojaPrincipal!$D$17,C54,"")</f>
        <v/>
      </c>
      <c r="G54" t="str">
        <f>IF(A54=HojaPrincipal!$F$4,B54,"")</f>
        <v/>
      </c>
    </row>
    <row r="55" spans="1:7" x14ac:dyDescent="0.25">
      <c r="A55">
        <v>114.3</v>
      </c>
      <c r="B55">
        <v>5</v>
      </c>
      <c r="C55">
        <f>Lissta_tubos__2[[#This Row],[D_exterior_mm]]-(2*Lissta_tubos__2[[#This Row],[Espesor_mm]])</f>
        <v>104.3</v>
      </c>
      <c r="D55" t="str">
        <f>IF(C55&gt;=HojaPrincipal!$F$9,A55,"")</f>
        <v/>
      </c>
      <c r="E55" t="str">
        <f>HojaPrincipal!$A$18 &amp; "." &amp;
TEXT(ROUND(A55*10,0),"0000") &amp;
"-" &amp;
TEXT(ROUND(C55*10,0),"0000")</f>
        <v>002A.002.1143-1043</v>
      </c>
      <c r="F55" t="str">
        <f>IF(A55=HojaPrincipal!$D$17,C55,"")</f>
        <v/>
      </c>
      <c r="G55" t="str">
        <f>IF(A55=HojaPrincipal!$F$4,B55,"")</f>
        <v/>
      </c>
    </row>
    <row r="56" spans="1:7" x14ac:dyDescent="0.25">
      <c r="A56">
        <v>114.3</v>
      </c>
      <c r="B56">
        <v>6.3</v>
      </c>
      <c r="C56">
        <f>Lissta_tubos__2[[#This Row],[D_exterior_mm]]-(2*Lissta_tubos__2[[#This Row],[Espesor_mm]])</f>
        <v>101.7</v>
      </c>
      <c r="D56" t="str">
        <f>IF(C56&gt;=HojaPrincipal!$F$9,A56,"")</f>
        <v/>
      </c>
      <c r="E56" t="str">
        <f>HojaPrincipal!$A$18 &amp; "." &amp;
TEXT(ROUND(A56*10,0),"0000") &amp;
"-" &amp;
TEXT(ROUND(C56*10,0),"0000")</f>
        <v>002A.002.1143-1017</v>
      </c>
      <c r="F56" t="str">
        <f>IF(A56=HojaPrincipal!$D$17,C56,"")</f>
        <v/>
      </c>
      <c r="G56" t="str">
        <f>IF(A56=HojaPrincipal!$F$4,B56,"")</f>
        <v/>
      </c>
    </row>
    <row r="57" spans="1:7" x14ac:dyDescent="0.25">
      <c r="A57">
        <v>127</v>
      </c>
      <c r="B57">
        <v>4</v>
      </c>
      <c r="C57">
        <f>Lissta_tubos__2[[#This Row],[D_exterior_mm]]-(2*Lissta_tubos__2[[#This Row],[Espesor_mm]])</f>
        <v>119</v>
      </c>
      <c r="D57" t="str">
        <f>IF(C57&gt;=HojaPrincipal!$F$9,A57,"")</f>
        <v/>
      </c>
      <c r="E57" t="str">
        <f>HojaPrincipal!$A$18 &amp; "." &amp;
TEXT(ROUND(A57*10,0),"0000") &amp;
"-" &amp;
TEXT(ROUND(C57*10,0),"0000")</f>
        <v>002A.002.1270-1190</v>
      </c>
      <c r="F57" t="str">
        <f>IF(A57=HojaPrincipal!$D$17,C57,"")</f>
        <v/>
      </c>
      <c r="G57" t="str">
        <f>IF(A57=HojaPrincipal!$F$4,B57,"")</f>
        <v/>
      </c>
    </row>
    <row r="58" spans="1:7" x14ac:dyDescent="0.25">
      <c r="A58">
        <v>127</v>
      </c>
      <c r="B58">
        <v>5</v>
      </c>
      <c r="C58">
        <f>Lissta_tubos__2[[#This Row],[D_exterior_mm]]-(2*Lissta_tubos__2[[#This Row],[Espesor_mm]])</f>
        <v>117</v>
      </c>
      <c r="D58" t="str">
        <f>IF(C58&gt;=HojaPrincipal!$F$9,A58,"")</f>
        <v/>
      </c>
      <c r="E58" t="str">
        <f>HojaPrincipal!$A$18 &amp; "." &amp;
TEXT(ROUND(A58*10,0),"0000") &amp;
"-" &amp;
TEXT(ROUND(C58*10,0),"0000")</f>
        <v>002A.002.1270-1170</v>
      </c>
      <c r="F58" t="str">
        <f>IF(A58=HojaPrincipal!$D$17,C58,"")</f>
        <v/>
      </c>
      <c r="G58" t="str">
        <f>IF(A58=HojaPrincipal!$F$4,B58,"")</f>
        <v/>
      </c>
    </row>
    <row r="59" spans="1:7" x14ac:dyDescent="0.25">
      <c r="A59">
        <v>127</v>
      </c>
      <c r="B59">
        <v>6.3</v>
      </c>
      <c r="C59">
        <f>Lissta_tubos__2[[#This Row],[D_exterior_mm]]-(2*Lissta_tubos__2[[#This Row],[Espesor_mm]])</f>
        <v>114.4</v>
      </c>
      <c r="D59" t="str">
        <f>IF(C59&gt;=HojaPrincipal!$F$9,A59,"")</f>
        <v/>
      </c>
      <c r="E59" t="str">
        <f>HojaPrincipal!$A$18 &amp; "." &amp;
TEXT(ROUND(A59*10,0),"0000") &amp;
"-" &amp;
TEXT(ROUND(C59*10,0),"0000")</f>
        <v>002A.002.1270-1144</v>
      </c>
      <c r="F59" t="str">
        <f>IF(A59=HojaPrincipal!$D$17,C59,"")</f>
        <v/>
      </c>
      <c r="G59" t="str">
        <f>IF(A59=HojaPrincipal!$F$4,B59,"")</f>
        <v/>
      </c>
    </row>
    <row r="60" spans="1:7" x14ac:dyDescent="0.25">
      <c r="A60">
        <v>139.69999999999999</v>
      </c>
      <c r="B60">
        <v>4</v>
      </c>
      <c r="C60">
        <f>Lissta_tubos__2[[#This Row],[D_exterior_mm]]-(2*Lissta_tubos__2[[#This Row],[Espesor_mm]])</f>
        <v>131.69999999999999</v>
      </c>
      <c r="D60">
        <f>IF(C60&gt;=HojaPrincipal!$F$9,A60,"")</f>
        <v>139.69999999999999</v>
      </c>
      <c r="E60" t="str">
        <f>HojaPrincipal!$A$18 &amp; "." &amp;
TEXT(ROUND(A60*10,0),"0000") &amp;
"-" &amp;
TEXT(ROUND(C60*10,0),"0000")</f>
        <v>002A.002.1397-1317</v>
      </c>
      <c r="F60">
        <f>IF(A60=HojaPrincipal!$D$17,C60,"")</f>
        <v>131.69999999999999</v>
      </c>
      <c r="G60" t="str">
        <f>IF(A60=HojaPrincipal!$F$4,B60,"")</f>
        <v/>
      </c>
    </row>
    <row r="61" spans="1:7" x14ac:dyDescent="0.25">
      <c r="A61">
        <v>139.69999999999999</v>
      </c>
      <c r="B61">
        <v>5</v>
      </c>
      <c r="C61">
        <f>Lissta_tubos__2[[#This Row],[D_exterior_mm]]-(2*Lissta_tubos__2[[#This Row],[Espesor_mm]])</f>
        <v>129.69999999999999</v>
      </c>
      <c r="D61">
        <f>IF(C61&gt;=HojaPrincipal!$F$9,A61,"")</f>
        <v>139.69999999999999</v>
      </c>
      <c r="E61" t="str">
        <f>HojaPrincipal!$A$18 &amp; "." &amp;
TEXT(ROUND(A61*10,0),"0000") &amp;
"-" &amp;
TEXT(ROUND(C61*10,0),"0000")</f>
        <v>002A.002.1397-1297</v>
      </c>
      <c r="F61">
        <f>IF(A61=HojaPrincipal!$D$17,C61,"")</f>
        <v>129.69999999999999</v>
      </c>
      <c r="G61" t="str">
        <f>IF(A61=HojaPrincipal!$F$4,B61,"")</f>
        <v/>
      </c>
    </row>
    <row r="62" spans="1:7" x14ac:dyDescent="0.25">
      <c r="A62">
        <v>139.69999999999999</v>
      </c>
      <c r="B62">
        <v>6.3</v>
      </c>
      <c r="C62">
        <f>Lissta_tubos__2[[#This Row],[D_exterior_mm]]-(2*Lissta_tubos__2[[#This Row],[Espesor_mm]])</f>
        <v>127.1</v>
      </c>
      <c r="D62">
        <f>IF(C62&gt;=HojaPrincipal!$F$9,A62,"")</f>
        <v>139.69999999999999</v>
      </c>
      <c r="E62" t="str">
        <f>HojaPrincipal!$A$18 &amp; "." &amp;
TEXT(ROUND(A62*10,0),"0000") &amp;
"-" &amp;
TEXT(ROUND(C62*10,0),"0000")</f>
        <v>002A.002.1397-1271</v>
      </c>
      <c r="F62">
        <f>IF(A62=HojaPrincipal!$D$17,C62,"")</f>
        <v>127.1</v>
      </c>
      <c r="G62" t="str">
        <f>IF(A62=HojaPrincipal!$F$4,B62,"")</f>
        <v/>
      </c>
    </row>
    <row r="63" spans="1:7" x14ac:dyDescent="0.25">
      <c r="A63">
        <v>159</v>
      </c>
      <c r="B63">
        <v>4</v>
      </c>
      <c r="C63">
        <f>Lissta_tubos__2[[#This Row],[D_exterior_mm]]-(2*Lissta_tubos__2[[#This Row],[Espesor_mm]])</f>
        <v>151</v>
      </c>
      <c r="D63">
        <f>IF(C63&gt;=HojaPrincipal!$F$9,A63,"")</f>
        <v>159</v>
      </c>
      <c r="E63" t="str">
        <f>HojaPrincipal!$A$18 &amp; "." &amp;
TEXT(ROUND(A63*10,0),"0000") &amp;
"-" &amp;
TEXT(ROUND(C63*10,0),"0000")</f>
        <v>002A.002.1590-1510</v>
      </c>
      <c r="F63" t="str">
        <f>IF(A63=HojaPrincipal!$D$17,C63,"")</f>
        <v/>
      </c>
      <c r="G63" t="str">
        <f>IF(A63=HojaPrincipal!$F$4,B63,"")</f>
        <v/>
      </c>
    </row>
    <row r="64" spans="1:7" x14ac:dyDescent="0.25">
      <c r="A64">
        <v>159</v>
      </c>
      <c r="B64">
        <v>5</v>
      </c>
      <c r="C64">
        <f>Lissta_tubos__2[[#This Row],[D_exterior_mm]]-(2*Lissta_tubos__2[[#This Row],[Espesor_mm]])</f>
        <v>149</v>
      </c>
      <c r="D64">
        <f>IF(C64&gt;=HojaPrincipal!$F$9,A64,"")</f>
        <v>159</v>
      </c>
      <c r="E64" t="str">
        <f>HojaPrincipal!$A$18 &amp; "." &amp;
TEXT(ROUND(A64*10,0),"0000") &amp;
"-" &amp;
TEXT(ROUND(C64*10,0),"0000")</f>
        <v>002A.002.1590-1490</v>
      </c>
      <c r="F64" t="str">
        <f>IF(A64=HojaPrincipal!$D$17,C64,"")</f>
        <v/>
      </c>
      <c r="G64" t="str">
        <f>IF(A64=HojaPrincipal!$F$4,B64,"")</f>
        <v/>
      </c>
    </row>
    <row r="65" spans="1:7" x14ac:dyDescent="0.25">
      <c r="A65">
        <v>159</v>
      </c>
      <c r="B65">
        <v>6.3</v>
      </c>
      <c r="C65">
        <f>Lissta_tubos__2[[#This Row],[D_exterior_mm]]-(2*Lissta_tubos__2[[#This Row],[Espesor_mm]])</f>
        <v>146.4</v>
      </c>
      <c r="D65">
        <f>IF(C65&gt;=HojaPrincipal!$F$9,A65,"")</f>
        <v>159</v>
      </c>
      <c r="E65" t="str">
        <f>HojaPrincipal!$A$18 &amp; "." &amp;
TEXT(ROUND(A65*10,0),"0000") &amp;
"-" &amp;
TEXT(ROUND(C65*10,0),"0000")</f>
        <v>002A.002.1590-1464</v>
      </c>
      <c r="F65" t="str">
        <f>IF(A65=HojaPrincipal!$D$17,C65,"")</f>
        <v/>
      </c>
      <c r="G65" t="str">
        <f>IF(A65=HojaPrincipal!$F$4,B65,"")</f>
        <v/>
      </c>
    </row>
    <row r="66" spans="1:7" x14ac:dyDescent="0.25">
      <c r="A66">
        <v>168.3</v>
      </c>
      <c r="B66">
        <v>5</v>
      </c>
      <c r="C66">
        <f>Lissta_tubos__2[[#This Row],[D_exterior_mm]]-(2*Lissta_tubos__2[[#This Row],[Espesor_mm]])</f>
        <v>158.30000000000001</v>
      </c>
      <c r="D66">
        <f>IF(C66&gt;=HojaPrincipal!$F$9,A66,"")</f>
        <v>168.3</v>
      </c>
      <c r="E66" t="str">
        <f>HojaPrincipal!$A$18 &amp; "." &amp;
TEXT(ROUND(A66*10,0),"0000") &amp;
"-" &amp;
TEXT(ROUND(C66*10,0),"0000")</f>
        <v>002A.002.1683-1583</v>
      </c>
      <c r="F66" t="str">
        <f>IF(A66=HojaPrincipal!$D$17,C66,"")</f>
        <v/>
      </c>
      <c r="G66" t="str">
        <f>IF(A66=HojaPrincipal!$F$4,B66,"")</f>
        <v/>
      </c>
    </row>
    <row r="67" spans="1:7" x14ac:dyDescent="0.25">
      <c r="A67">
        <v>168.3</v>
      </c>
      <c r="B67">
        <v>6.3</v>
      </c>
      <c r="C67">
        <f>Lissta_tubos__2[[#This Row],[D_exterior_mm]]-(2*Lissta_tubos__2[[#This Row],[Espesor_mm]])</f>
        <v>155.70000000000002</v>
      </c>
      <c r="D67">
        <f>IF(C67&gt;=HojaPrincipal!$F$9,A67,"")</f>
        <v>168.3</v>
      </c>
      <c r="E67" t="str">
        <f>HojaPrincipal!$A$18 &amp; "." &amp;
TEXT(ROUND(A67*10,0),"0000") &amp;
"-" &amp;
TEXT(ROUND(C67*10,0),"0000")</f>
        <v>002A.002.1683-1557</v>
      </c>
      <c r="F67" t="str">
        <f>IF(A67=HojaPrincipal!$D$17,C67,"")</f>
        <v/>
      </c>
      <c r="G67" t="str">
        <f>IF(A67=HojaPrincipal!$F$4,B67,"")</f>
        <v/>
      </c>
    </row>
    <row r="68" spans="1:7" x14ac:dyDescent="0.25">
      <c r="A68">
        <v>177.8</v>
      </c>
      <c r="B68">
        <v>5</v>
      </c>
      <c r="C68">
        <f>Lissta_tubos__2[[#This Row],[D_exterior_mm]]-(2*Lissta_tubos__2[[#This Row],[Espesor_mm]])</f>
        <v>167.8</v>
      </c>
      <c r="D68">
        <f>IF(C68&gt;=HojaPrincipal!$F$9,A68,"")</f>
        <v>177.8</v>
      </c>
      <c r="E68" t="str">
        <f>HojaPrincipal!$A$18 &amp; "." &amp;
TEXT(ROUND(A68*10,0),"0000") &amp;
"-" &amp;
TEXT(ROUND(C68*10,0),"0000")</f>
        <v>002A.002.1778-1678</v>
      </c>
      <c r="F68" t="str">
        <f>IF(A68=HojaPrincipal!$D$17,C68,"")</f>
        <v/>
      </c>
      <c r="G68" t="str">
        <f>IF(A68=HojaPrincipal!$F$4,B68,"")</f>
        <v/>
      </c>
    </row>
    <row r="69" spans="1:7" x14ac:dyDescent="0.25">
      <c r="A69">
        <v>177.8</v>
      </c>
      <c r="B69">
        <v>6.3</v>
      </c>
      <c r="C69">
        <f>Lissta_tubos__2[[#This Row],[D_exterior_mm]]-(2*Lissta_tubos__2[[#This Row],[Espesor_mm]])</f>
        <v>165.20000000000002</v>
      </c>
      <c r="D69">
        <f>IF(C69&gt;=HojaPrincipal!$F$9,A69,"")</f>
        <v>177.8</v>
      </c>
      <c r="E69" t="str">
        <f>HojaPrincipal!$A$18 &amp; "." &amp;
TEXT(ROUND(A69*10,0),"0000") &amp;
"-" &amp;
TEXT(ROUND(C69*10,0),"0000")</f>
        <v>002A.002.1778-1652</v>
      </c>
      <c r="F69" t="str">
        <f>IF(A69=HojaPrincipal!$D$17,C69,"")</f>
        <v/>
      </c>
      <c r="G69" t="str">
        <f>IF(A69=HojaPrincipal!$F$4,B69,"")</f>
        <v/>
      </c>
    </row>
    <row r="70" spans="1:7" x14ac:dyDescent="0.25">
      <c r="A70">
        <v>193.7</v>
      </c>
      <c r="B70">
        <v>6.3</v>
      </c>
      <c r="C70">
        <f>Lissta_tubos__2[[#This Row],[D_exterior_mm]]-(2*Lissta_tubos__2[[#This Row],[Espesor_mm]])</f>
        <v>181.1</v>
      </c>
      <c r="D70">
        <f>IF(C70&gt;=HojaPrincipal!$F$9,A70,"")</f>
        <v>193.7</v>
      </c>
      <c r="E70" t="str">
        <f>HojaPrincipal!$A$18 &amp; "." &amp;
TEXT(ROUND(A70*10,0),"0000") &amp;
"-" &amp;
TEXT(ROUND(C70*10,0),"0000")</f>
        <v>002A.002.1937-1811</v>
      </c>
      <c r="F70" t="str">
        <f>IF(A70=HojaPrincipal!$D$17,C70,"")</f>
        <v/>
      </c>
      <c r="G70" t="str">
        <f>IF(A70=HojaPrincipal!$F$4,B70,"")</f>
        <v/>
      </c>
    </row>
    <row r="71" spans="1:7" x14ac:dyDescent="0.25">
      <c r="A71">
        <v>219.1</v>
      </c>
      <c r="B71">
        <v>6.3</v>
      </c>
      <c r="C71">
        <f>Lissta_tubos__2[[#This Row],[D_exterior_mm]]-(2*Lissta_tubos__2[[#This Row],[Espesor_mm]])</f>
        <v>206.5</v>
      </c>
      <c r="D71">
        <f>IF(C71&gt;=HojaPrincipal!$F$9,A71,"")</f>
        <v>219.1</v>
      </c>
      <c r="E71" t="str">
        <f>HojaPrincipal!$A$18 &amp; "." &amp;
TEXT(ROUND(A71*10,0),"0000") &amp;
"-" &amp;
TEXT(ROUND(C71*10,0),"0000")</f>
        <v>002A.002.2191-2065</v>
      </c>
      <c r="F71" t="str">
        <f>IF(A71=HojaPrincipal!$D$17,C71,"")</f>
        <v/>
      </c>
      <c r="G71" t="str">
        <f>IF(A71=HojaPrincipal!$F$4,B71,"")</f>
        <v/>
      </c>
    </row>
    <row r="72" spans="1:7" x14ac:dyDescent="0.25">
      <c r="A72">
        <v>244.5</v>
      </c>
      <c r="B72">
        <v>6.3</v>
      </c>
      <c r="C72">
        <f>Lissta_tubos__2[[#This Row],[D_exterior_mm]]-(2*Lissta_tubos__2[[#This Row],[Espesor_mm]])</f>
        <v>231.9</v>
      </c>
      <c r="D72">
        <f>IF(C72&gt;=HojaPrincipal!$F$9,A72,"")</f>
        <v>244.5</v>
      </c>
      <c r="E72" t="str">
        <f>HojaPrincipal!$A$18 &amp; "." &amp;
TEXT(ROUND(A72*10,0),"0000") &amp;
"-" &amp;
TEXT(ROUND(C72*10,0),"0000")</f>
        <v>002A.002.2445-2319</v>
      </c>
      <c r="F72" t="str">
        <f>IF(A72=HojaPrincipal!$D$17,C72,"")</f>
        <v/>
      </c>
      <c r="G72" t="str">
        <f>IF(A72=HojaPrincipal!$F$4,B72,"")</f>
        <v/>
      </c>
    </row>
    <row r="73" spans="1:7" x14ac:dyDescent="0.25">
      <c r="A73">
        <v>273</v>
      </c>
      <c r="B73">
        <v>6.3</v>
      </c>
      <c r="C73">
        <f>Lissta_tubos__2[[#This Row],[D_exterior_mm]]-(2*Lissta_tubos__2[[#This Row],[Espesor_mm]])</f>
        <v>260.39999999999998</v>
      </c>
      <c r="D73">
        <f>IF(C73&gt;=HojaPrincipal!$F$9,A73,"")</f>
        <v>273</v>
      </c>
      <c r="E73" t="str">
        <f>HojaPrincipal!$A$18 &amp; "." &amp;
TEXT(ROUND(A73*10,0),"0000") &amp;
"-" &amp;
TEXT(ROUND(C73*10,0),"0000")</f>
        <v>002A.002.2730-2604</v>
      </c>
      <c r="F73" t="str">
        <f>IF(A73=HojaPrincipal!$D$17,C73,"")</f>
        <v/>
      </c>
      <c r="G73" t="str">
        <f>IF(A73=HojaPrincipal!$F$4,B73,"")</f>
        <v/>
      </c>
    </row>
    <row r="74" spans="1:7" x14ac:dyDescent="0.25">
      <c r="A74">
        <v>273</v>
      </c>
      <c r="B74">
        <v>8</v>
      </c>
      <c r="C74">
        <f>Lissta_tubos__2[[#This Row],[D_exterior_mm]]-(2*Lissta_tubos__2[[#This Row],[Espesor_mm]])</f>
        <v>257</v>
      </c>
      <c r="D74">
        <f>IF(C74&gt;=HojaPrincipal!$F$9,A74,"")</f>
        <v>273</v>
      </c>
      <c r="E74" t="str">
        <f>HojaPrincipal!$A$18 &amp; "." &amp;
TEXT(ROUND(A74*10,0),"0000") &amp;
"-" &amp;
TEXT(ROUND(C74*10,0),"0000")</f>
        <v>002A.002.2730-2570</v>
      </c>
      <c r="F74" t="str">
        <f>IF(A74=HojaPrincipal!$D$17,C74,"")</f>
        <v/>
      </c>
      <c r="G74" t="str">
        <f>IF(A74=HojaPrincipal!$F$4,B74,"")</f>
        <v/>
      </c>
    </row>
    <row r="75" spans="1:7" x14ac:dyDescent="0.25">
      <c r="A75">
        <v>323.89999999999998</v>
      </c>
      <c r="B75">
        <v>8</v>
      </c>
      <c r="C75">
        <f>Lissta_tubos__2[[#This Row],[D_exterior_mm]]-(2*Lissta_tubos__2[[#This Row],[Espesor_mm]])</f>
        <v>307.89999999999998</v>
      </c>
      <c r="D75">
        <f>IF(C75&gt;=HojaPrincipal!$F$9,A75,"")</f>
        <v>323.89999999999998</v>
      </c>
      <c r="E75" t="str">
        <f>HojaPrincipal!$A$18 &amp; "." &amp;
TEXT(ROUND(A75*10,0),"0000") &amp;
"-" &amp;
TEXT(ROUND(C75*10,0),"0000")</f>
        <v>002A.002.3239-3079</v>
      </c>
      <c r="F75" t="str">
        <f>IF(A75=HojaPrincipal!$D$17,C75,"")</f>
        <v/>
      </c>
      <c r="G75" t="str">
        <f>IF(A75=HojaPrincipal!$F$4,B75,"")</f>
        <v/>
      </c>
    </row>
    <row r="76" spans="1:7" x14ac:dyDescent="0.25">
      <c r="A76">
        <v>323.89999999999998</v>
      </c>
      <c r="B76">
        <v>10</v>
      </c>
      <c r="C76">
        <f>Lissta_tubos__2[[#This Row],[D_exterior_mm]]-(2*Lissta_tubos__2[[#This Row],[Espesor_mm]])</f>
        <v>303.89999999999998</v>
      </c>
      <c r="D76">
        <f>IF(C76&gt;=HojaPrincipal!$F$9,A76,"")</f>
        <v>323.89999999999998</v>
      </c>
      <c r="E76" t="str">
        <f>HojaPrincipal!$A$18 &amp; "." &amp;
TEXT(ROUND(A76*10,0),"0000") &amp;
"-" &amp;
TEXT(ROUND(C76*10,0),"0000")</f>
        <v>002A.002.3239-3039</v>
      </c>
      <c r="F76" t="str">
        <f>IF(A76=HojaPrincipal!$D$17,C76,"")</f>
        <v/>
      </c>
      <c r="G76" t="str">
        <f>IF(A76=HojaPrincipal!$F$4,B76,"")</f>
        <v/>
      </c>
    </row>
    <row r="77" spans="1:7" x14ac:dyDescent="0.25">
      <c r="A77">
        <v>355.6</v>
      </c>
      <c r="B77">
        <v>8</v>
      </c>
      <c r="C77">
        <f>Lissta_tubos__2[[#This Row],[D_exterior_mm]]-(2*Lissta_tubos__2[[#This Row],[Espesor_mm]])</f>
        <v>339.6</v>
      </c>
      <c r="D77">
        <f>IF(C77&gt;=HojaPrincipal!$F$9,A77,"")</f>
        <v>355.6</v>
      </c>
      <c r="E77" t="str">
        <f>HojaPrincipal!$A$18 &amp; "." &amp;
TEXT(ROUND(A77*10,0),"0000") &amp;
"-" &amp;
TEXT(ROUND(C77*10,0),"0000")</f>
        <v>002A.002.3556-3396</v>
      </c>
      <c r="F77" t="str">
        <f>IF(A77=HojaPrincipal!$D$17,C77,"")</f>
        <v/>
      </c>
      <c r="G77" t="str">
        <f>IF(A77=HojaPrincipal!$F$4,B77,"")</f>
        <v/>
      </c>
    </row>
    <row r="78" spans="1:7" x14ac:dyDescent="0.25">
      <c r="A78">
        <v>355.6</v>
      </c>
      <c r="B78">
        <v>10</v>
      </c>
      <c r="C78">
        <f>Lissta_tubos__2[[#This Row],[D_exterior_mm]]-(2*Lissta_tubos__2[[#This Row],[Espesor_mm]])</f>
        <v>335.6</v>
      </c>
      <c r="D78">
        <f>IF(C78&gt;=HojaPrincipal!$F$9,A78,"")</f>
        <v>355.6</v>
      </c>
      <c r="E78" t="str">
        <f>HojaPrincipal!$A$18 &amp; "." &amp;
TEXT(ROUND(A78*10,0),"0000") &amp;
"-" &amp;
TEXT(ROUND(C78*10,0),"0000")</f>
        <v>002A.002.3556-3356</v>
      </c>
      <c r="F78" t="str">
        <f>IF(A78=HojaPrincipal!$D$17,C78,"")</f>
        <v/>
      </c>
      <c r="G78" t="str">
        <f>IF(A78=HojaPrincipal!$F$4,B78,"")</f>
        <v/>
      </c>
    </row>
    <row r="79" spans="1:7" x14ac:dyDescent="0.25">
      <c r="A79">
        <v>406.4</v>
      </c>
      <c r="B79">
        <v>8</v>
      </c>
      <c r="C79">
        <f>Lissta_tubos__2[[#This Row],[D_exterior_mm]]-(2*Lissta_tubos__2[[#This Row],[Espesor_mm]])</f>
        <v>390.4</v>
      </c>
      <c r="D79">
        <f>IF(C79&gt;=HojaPrincipal!$F$9,A79,"")</f>
        <v>406.4</v>
      </c>
      <c r="E79" t="str">
        <f>HojaPrincipal!$A$18 &amp; "." &amp;
TEXT(ROUND(A79*10,0),"0000") &amp;
"-" &amp;
TEXT(ROUND(C79*10,0),"0000")</f>
        <v>002A.002.4064-3904</v>
      </c>
      <c r="F79" t="str">
        <f>IF(A79=HojaPrincipal!$D$17,C79,"")</f>
        <v/>
      </c>
      <c r="G79" t="str">
        <f>IF(A79=HojaPrincipal!$F$4,B79,"")</f>
        <v/>
      </c>
    </row>
    <row r="80" spans="1:7" x14ac:dyDescent="0.25">
      <c r="A80">
        <v>406.4</v>
      </c>
      <c r="B80">
        <v>10</v>
      </c>
      <c r="C80">
        <f>Lissta_tubos__2[[#This Row],[D_exterior_mm]]-(2*Lissta_tubos__2[[#This Row],[Espesor_mm]])</f>
        <v>386.4</v>
      </c>
      <c r="D80">
        <f>IF(C80&gt;=HojaPrincipal!$F$9,A80,"")</f>
        <v>406.4</v>
      </c>
      <c r="E80" t="str">
        <f>HojaPrincipal!$A$18 &amp; "." &amp;
TEXT(ROUND(A80*10,0),"0000") &amp;
"-" &amp;
TEXT(ROUND(C80*10,0),"0000")</f>
        <v>002A.002.4064-3864</v>
      </c>
      <c r="F80" t="str">
        <f>IF(A80=HojaPrincipal!$D$17,C80,"")</f>
        <v/>
      </c>
      <c r="G80" t="str">
        <f>IF(A80=HojaPrincipal!$F$4,B80,"")</f>
        <v/>
      </c>
    </row>
    <row r="81" spans="1:7" x14ac:dyDescent="0.25">
      <c r="A81">
        <v>457</v>
      </c>
      <c r="B81">
        <v>10</v>
      </c>
      <c r="C81">
        <f>Lissta_tubos__2[[#This Row],[D_exterior_mm]]-(2*Lissta_tubos__2[[#This Row],[Espesor_mm]])</f>
        <v>437</v>
      </c>
      <c r="D81">
        <f>IF(C81&gt;=HojaPrincipal!$F$9,A81,"")</f>
        <v>457</v>
      </c>
      <c r="E81" t="str">
        <f>HojaPrincipal!$A$18 &amp; "." &amp;
TEXT(ROUND(A81*10,0),"0000") &amp;
"-" &amp;
TEXT(ROUND(C81*10,0),"0000")</f>
        <v>002A.002.4570-4370</v>
      </c>
      <c r="F81" t="str">
        <f>IF(A81=HojaPrincipal!$D$17,C81,"")</f>
        <v/>
      </c>
      <c r="G81" t="str">
        <f>IF(A81=HojaPrincipal!$F$4,B81,"")</f>
        <v/>
      </c>
    </row>
    <row r="82" spans="1:7" x14ac:dyDescent="0.25">
      <c r="A82">
        <v>508</v>
      </c>
      <c r="B82">
        <v>10</v>
      </c>
      <c r="C82">
        <f>Lissta_tubos__2[[#This Row],[D_exterior_mm]]-(2*Lissta_tubos__2[[#This Row],[Espesor_mm]])</f>
        <v>488</v>
      </c>
      <c r="D82">
        <f>IF(C82&gt;=HojaPrincipal!$F$9,A82,"")</f>
        <v>508</v>
      </c>
      <c r="E82" t="str">
        <f>HojaPrincipal!$A$18 &amp; "." &amp;
TEXT(ROUND(A82*10,0),"0000") &amp;
"-" &amp;
TEXT(ROUND(C82*10,0),"0000")</f>
        <v>002A.002.5080-4880</v>
      </c>
      <c r="F82" t="str">
        <f>IF(A82=HojaPrincipal!$D$17,C82,"")</f>
        <v/>
      </c>
      <c r="G82" t="str">
        <f>IF(A82=HojaPrincipal!$F$4,B82,"")</f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8615-06E0-4715-BBE3-DE0A583024FF}">
  <dimension ref="A2:A8"/>
  <sheetViews>
    <sheetView workbookViewId="0">
      <selection sqref="A1:XFD1"/>
    </sheetView>
  </sheetViews>
  <sheetFormatPr baseColWidth="10" defaultColWidth="11.42578125" defaultRowHeight="15" x14ac:dyDescent="0.25"/>
  <sheetData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  <row r="7" spans="1:1" x14ac:dyDescent="0.25">
      <c r="A7" t="s">
        <v>56</v>
      </c>
    </row>
    <row r="8" spans="1:1" x14ac:dyDescent="0.25">
      <c r="A8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7A4B-E26A-4285-AC79-7090694E7538}">
  <dimension ref="A1:G222"/>
  <sheetViews>
    <sheetView topLeftCell="A7" workbookViewId="0">
      <selection activeCell="G4" sqref="G4"/>
    </sheetView>
  </sheetViews>
  <sheetFormatPr baseColWidth="10" defaultColWidth="9.140625" defaultRowHeight="15" x14ac:dyDescent="0.25"/>
  <cols>
    <col min="1" max="1" width="15.28515625" bestFit="1" customWidth="1"/>
    <col min="5" max="5" width="18" customWidth="1"/>
  </cols>
  <sheetData>
    <row r="1" spans="1:7" ht="60" x14ac:dyDescent="0.25">
      <c r="A1" s="18" t="s">
        <v>116</v>
      </c>
      <c r="B1" s="18" t="s">
        <v>117</v>
      </c>
      <c r="C1" s="17" t="s">
        <v>119</v>
      </c>
      <c r="D1" s="17" t="s">
        <v>118</v>
      </c>
      <c r="E1" s="17" t="s">
        <v>123</v>
      </c>
      <c r="F1" s="17" t="s">
        <v>124</v>
      </c>
      <c r="G1" s="17" t="s">
        <v>131</v>
      </c>
    </row>
    <row r="2" spans="1:7" x14ac:dyDescent="0.25">
      <c r="A2" s="2">
        <v>10</v>
      </c>
      <c r="B2" s="2">
        <v>10</v>
      </c>
      <c r="C2" s="2">
        <v>1</v>
      </c>
      <c r="D2" s="2">
        <v>1500</v>
      </c>
      <c r="E2" t="s">
        <v>120</v>
      </c>
      <c r="F2" t="s">
        <v>125</v>
      </c>
      <c r="G2" t="s">
        <v>132</v>
      </c>
    </row>
    <row r="3" spans="1:7" x14ac:dyDescent="0.25">
      <c r="A3" s="2">
        <v>15</v>
      </c>
      <c r="B3" s="2">
        <v>15</v>
      </c>
      <c r="C3" s="2">
        <v>1.5</v>
      </c>
      <c r="D3" s="2">
        <v>1550</v>
      </c>
      <c r="E3" t="s">
        <v>121</v>
      </c>
      <c r="F3" t="s">
        <v>126</v>
      </c>
      <c r="G3" t="s">
        <v>133</v>
      </c>
    </row>
    <row r="4" spans="1:7" x14ac:dyDescent="0.25">
      <c r="A4" s="2">
        <v>20</v>
      </c>
      <c r="B4" s="2">
        <v>20</v>
      </c>
      <c r="C4" s="2">
        <v>2</v>
      </c>
      <c r="D4" s="2">
        <v>1600</v>
      </c>
      <c r="E4" t="s">
        <v>122</v>
      </c>
      <c r="F4" t="s">
        <v>127</v>
      </c>
    </row>
    <row r="5" spans="1:7" x14ac:dyDescent="0.25">
      <c r="A5" s="2">
        <v>25</v>
      </c>
      <c r="B5" s="2">
        <v>25</v>
      </c>
      <c r="C5" s="2">
        <v>2.5</v>
      </c>
      <c r="D5" s="2">
        <v>1650</v>
      </c>
      <c r="F5" t="s">
        <v>128</v>
      </c>
    </row>
    <row r="6" spans="1:7" x14ac:dyDescent="0.25">
      <c r="A6" s="2">
        <v>30</v>
      </c>
      <c r="B6" s="2">
        <v>30</v>
      </c>
      <c r="C6" s="2">
        <v>3</v>
      </c>
      <c r="D6" s="2">
        <v>1700</v>
      </c>
      <c r="F6" t="s">
        <v>129</v>
      </c>
    </row>
    <row r="7" spans="1:7" x14ac:dyDescent="0.25">
      <c r="A7" s="2">
        <v>35</v>
      </c>
      <c r="B7" s="2">
        <v>35</v>
      </c>
      <c r="C7" s="2">
        <v>4</v>
      </c>
      <c r="D7" s="2">
        <v>1750</v>
      </c>
      <c r="F7" t="s">
        <v>130</v>
      </c>
    </row>
    <row r="8" spans="1:7" x14ac:dyDescent="0.25">
      <c r="A8" s="2">
        <v>40</v>
      </c>
      <c r="B8" s="2">
        <v>40</v>
      </c>
      <c r="C8" s="2">
        <v>5</v>
      </c>
      <c r="D8" s="2">
        <v>1800</v>
      </c>
    </row>
    <row r="9" spans="1:7" x14ac:dyDescent="0.25">
      <c r="A9" s="2">
        <v>45</v>
      </c>
      <c r="B9" s="2">
        <v>45</v>
      </c>
      <c r="C9" s="2">
        <v>6</v>
      </c>
      <c r="D9" s="2">
        <v>1850</v>
      </c>
    </row>
    <row r="10" spans="1:7" x14ac:dyDescent="0.25">
      <c r="A10" s="2">
        <v>50</v>
      </c>
      <c r="B10" s="2">
        <v>50</v>
      </c>
      <c r="C10" s="2">
        <v>8</v>
      </c>
      <c r="D10" s="2">
        <v>1900</v>
      </c>
    </row>
    <row r="11" spans="1:7" x14ac:dyDescent="0.25">
      <c r="A11" s="2">
        <v>55</v>
      </c>
      <c r="B11" s="2">
        <v>55</v>
      </c>
      <c r="C11" s="2">
        <v>10</v>
      </c>
      <c r="D11" s="2">
        <v>1950</v>
      </c>
    </row>
    <row r="12" spans="1:7" x14ac:dyDescent="0.25">
      <c r="A12" s="2">
        <v>60</v>
      </c>
      <c r="B12" s="2">
        <v>60</v>
      </c>
      <c r="C12" s="2">
        <v>12</v>
      </c>
      <c r="D12" s="2">
        <v>2000</v>
      </c>
    </row>
    <row r="13" spans="1:7" x14ac:dyDescent="0.25">
      <c r="A13" s="2">
        <v>65</v>
      </c>
      <c r="B13" s="2">
        <v>65</v>
      </c>
      <c r="C13" s="2">
        <v>14</v>
      </c>
      <c r="D13" s="2">
        <v>2050</v>
      </c>
    </row>
    <row r="14" spans="1:7" x14ac:dyDescent="0.25">
      <c r="A14" s="2">
        <v>70</v>
      </c>
      <c r="B14" s="2">
        <v>70</v>
      </c>
      <c r="C14" s="2">
        <v>15</v>
      </c>
      <c r="D14" s="2">
        <v>2100</v>
      </c>
    </row>
    <row r="15" spans="1:7" x14ac:dyDescent="0.25">
      <c r="A15" s="2">
        <v>75</v>
      </c>
      <c r="B15" s="2">
        <v>75</v>
      </c>
      <c r="C15" s="2">
        <v>16</v>
      </c>
      <c r="D15" s="2">
        <v>2150</v>
      </c>
    </row>
    <row r="16" spans="1:7" x14ac:dyDescent="0.25">
      <c r="A16" s="2">
        <v>80</v>
      </c>
      <c r="B16" s="2">
        <v>80</v>
      </c>
      <c r="C16" s="2">
        <v>18</v>
      </c>
      <c r="D16" s="2">
        <v>2200</v>
      </c>
    </row>
    <row r="17" spans="1:4" x14ac:dyDescent="0.25">
      <c r="A17" s="2">
        <v>85</v>
      </c>
      <c r="B17" s="2">
        <v>85</v>
      </c>
      <c r="C17" s="2">
        <v>20</v>
      </c>
      <c r="D17" s="2">
        <v>2250</v>
      </c>
    </row>
    <row r="18" spans="1:4" x14ac:dyDescent="0.25">
      <c r="A18" s="2">
        <v>90</v>
      </c>
      <c r="B18" s="2">
        <v>90</v>
      </c>
      <c r="C18" s="2">
        <v>25</v>
      </c>
      <c r="D18" s="2">
        <v>2300</v>
      </c>
    </row>
    <row r="19" spans="1:4" x14ac:dyDescent="0.25">
      <c r="A19" s="2">
        <v>95</v>
      </c>
      <c r="B19" s="2">
        <v>95</v>
      </c>
      <c r="C19" s="2">
        <v>30</v>
      </c>
      <c r="D19" s="2">
        <v>2350</v>
      </c>
    </row>
    <row r="20" spans="1:4" x14ac:dyDescent="0.25">
      <c r="A20" s="2">
        <v>100</v>
      </c>
      <c r="B20" s="2">
        <v>100</v>
      </c>
      <c r="C20" s="2">
        <v>35</v>
      </c>
      <c r="D20" s="2">
        <v>2400</v>
      </c>
    </row>
    <row r="21" spans="1:4" x14ac:dyDescent="0.25">
      <c r="A21" s="2">
        <v>105</v>
      </c>
      <c r="B21" s="2">
        <v>105</v>
      </c>
      <c r="C21" s="2">
        <v>40</v>
      </c>
      <c r="D21" s="2">
        <v>2450</v>
      </c>
    </row>
    <row r="22" spans="1:4" x14ac:dyDescent="0.25">
      <c r="A22" s="2">
        <v>110</v>
      </c>
      <c r="B22" s="2">
        <v>110</v>
      </c>
      <c r="D22" s="2">
        <v>2500</v>
      </c>
    </row>
    <row r="23" spans="1:4" x14ac:dyDescent="0.25">
      <c r="A23" s="2">
        <v>115</v>
      </c>
      <c r="B23" s="2">
        <v>115</v>
      </c>
      <c r="D23" s="2">
        <v>2550</v>
      </c>
    </row>
    <row r="24" spans="1:4" x14ac:dyDescent="0.25">
      <c r="A24" s="2">
        <v>120</v>
      </c>
      <c r="B24" s="2">
        <v>120</v>
      </c>
      <c r="D24" s="2">
        <v>2600</v>
      </c>
    </row>
    <row r="25" spans="1:4" x14ac:dyDescent="0.25">
      <c r="A25" s="2">
        <v>125</v>
      </c>
      <c r="B25" s="2">
        <v>125</v>
      </c>
      <c r="D25" s="2">
        <v>2650</v>
      </c>
    </row>
    <row r="26" spans="1:4" x14ac:dyDescent="0.25">
      <c r="A26" s="2">
        <v>130</v>
      </c>
      <c r="B26" s="2">
        <v>130</v>
      </c>
      <c r="D26" s="2">
        <v>2700</v>
      </c>
    </row>
    <row r="27" spans="1:4" x14ac:dyDescent="0.25">
      <c r="A27" s="2">
        <v>135</v>
      </c>
      <c r="B27" s="2">
        <v>135</v>
      </c>
      <c r="D27" s="2">
        <v>2750</v>
      </c>
    </row>
    <row r="28" spans="1:4" x14ac:dyDescent="0.25">
      <c r="A28" s="2">
        <v>140</v>
      </c>
      <c r="B28" s="2">
        <v>140</v>
      </c>
      <c r="D28" s="2">
        <v>2800</v>
      </c>
    </row>
    <row r="29" spans="1:4" x14ac:dyDescent="0.25">
      <c r="A29" s="2">
        <v>145</v>
      </c>
      <c r="B29" s="2">
        <v>145</v>
      </c>
      <c r="D29" s="2">
        <v>2850</v>
      </c>
    </row>
    <row r="30" spans="1:4" x14ac:dyDescent="0.25">
      <c r="A30" s="2">
        <v>150</v>
      </c>
      <c r="B30" s="2">
        <v>150</v>
      </c>
      <c r="D30" s="2">
        <v>2900</v>
      </c>
    </row>
    <row r="31" spans="1:4" x14ac:dyDescent="0.25">
      <c r="A31" s="2">
        <v>155</v>
      </c>
      <c r="B31" s="2">
        <v>155</v>
      </c>
      <c r="D31" s="2">
        <v>2950</v>
      </c>
    </row>
    <row r="32" spans="1:4" x14ac:dyDescent="0.25">
      <c r="A32" s="2">
        <v>160</v>
      </c>
      <c r="B32" s="2">
        <v>160</v>
      </c>
      <c r="D32" s="2">
        <v>3000</v>
      </c>
    </row>
    <row r="33" spans="1:4" x14ac:dyDescent="0.25">
      <c r="A33" s="2">
        <v>165</v>
      </c>
      <c r="B33" s="2">
        <v>165</v>
      </c>
      <c r="D33" s="2">
        <v>3050</v>
      </c>
    </row>
    <row r="34" spans="1:4" x14ac:dyDescent="0.25">
      <c r="A34" s="2">
        <v>170</v>
      </c>
      <c r="B34" s="2">
        <v>170</v>
      </c>
      <c r="D34" s="2">
        <v>3100</v>
      </c>
    </row>
    <row r="35" spans="1:4" x14ac:dyDescent="0.25">
      <c r="A35" s="2">
        <v>175</v>
      </c>
      <c r="B35" s="2">
        <v>175</v>
      </c>
      <c r="D35" s="2">
        <v>3150</v>
      </c>
    </row>
    <row r="36" spans="1:4" x14ac:dyDescent="0.25">
      <c r="A36" s="2">
        <v>180</v>
      </c>
      <c r="B36" s="2">
        <v>180</v>
      </c>
      <c r="D36" s="2">
        <v>3200</v>
      </c>
    </row>
    <row r="37" spans="1:4" x14ac:dyDescent="0.25">
      <c r="A37" s="2">
        <v>185</v>
      </c>
      <c r="B37" s="2">
        <v>185</v>
      </c>
      <c r="D37" s="2">
        <v>3250</v>
      </c>
    </row>
    <row r="38" spans="1:4" x14ac:dyDescent="0.25">
      <c r="A38" s="2">
        <v>190</v>
      </c>
      <c r="B38" s="2">
        <v>190</v>
      </c>
      <c r="D38" s="2">
        <v>3300</v>
      </c>
    </row>
    <row r="39" spans="1:4" x14ac:dyDescent="0.25">
      <c r="A39" s="2">
        <v>195</v>
      </c>
      <c r="B39" s="2">
        <v>195</v>
      </c>
      <c r="D39" s="2">
        <v>3350</v>
      </c>
    </row>
    <row r="40" spans="1:4" x14ac:dyDescent="0.25">
      <c r="A40" s="2">
        <v>200</v>
      </c>
      <c r="B40" s="2">
        <v>200</v>
      </c>
      <c r="D40" s="2">
        <v>3400</v>
      </c>
    </row>
    <row r="41" spans="1:4" x14ac:dyDescent="0.25">
      <c r="A41" s="2">
        <v>205</v>
      </c>
      <c r="B41" s="2">
        <v>205</v>
      </c>
      <c r="D41" s="2">
        <v>3450</v>
      </c>
    </row>
    <row r="42" spans="1:4" x14ac:dyDescent="0.25">
      <c r="A42" s="2">
        <v>210</v>
      </c>
      <c r="B42" s="2">
        <v>210</v>
      </c>
      <c r="D42" s="2">
        <v>3500</v>
      </c>
    </row>
    <row r="43" spans="1:4" x14ac:dyDescent="0.25">
      <c r="A43" s="2">
        <v>215</v>
      </c>
      <c r="B43" s="2">
        <v>215</v>
      </c>
      <c r="D43" s="2">
        <v>3550</v>
      </c>
    </row>
    <row r="44" spans="1:4" x14ac:dyDescent="0.25">
      <c r="A44" s="2">
        <v>220</v>
      </c>
      <c r="B44" s="2">
        <v>220</v>
      </c>
      <c r="D44" s="2">
        <v>3600</v>
      </c>
    </row>
    <row r="45" spans="1:4" x14ac:dyDescent="0.25">
      <c r="A45" s="2">
        <v>225</v>
      </c>
      <c r="B45" s="2">
        <v>225</v>
      </c>
      <c r="D45" s="2">
        <v>3650</v>
      </c>
    </row>
    <row r="46" spans="1:4" x14ac:dyDescent="0.25">
      <c r="A46" s="2">
        <v>230</v>
      </c>
      <c r="B46" s="2">
        <v>230</v>
      </c>
      <c r="D46" s="2">
        <v>3700</v>
      </c>
    </row>
    <row r="47" spans="1:4" x14ac:dyDescent="0.25">
      <c r="A47" s="2">
        <v>235</v>
      </c>
      <c r="B47" s="2">
        <v>235</v>
      </c>
      <c r="D47" s="2">
        <v>3750</v>
      </c>
    </row>
    <row r="48" spans="1:4" x14ac:dyDescent="0.25">
      <c r="A48" s="2">
        <v>240</v>
      </c>
      <c r="B48" s="2">
        <v>240</v>
      </c>
      <c r="D48" s="2">
        <v>3800</v>
      </c>
    </row>
    <row r="49" spans="1:4" x14ac:dyDescent="0.25">
      <c r="A49" s="2">
        <v>245</v>
      </c>
      <c r="B49" s="2">
        <v>245</v>
      </c>
      <c r="D49" s="2">
        <v>3850</v>
      </c>
    </row>
    <row r="50" spans="1:4" x14ac:dyDescent="0.25">
      <c r="A50" s="2">
        <v>250</v>
      </c>
      <c r="B50" s="2">
        <v>250</v>
      </c>
      <c r="D50" s="2">
        <v>3900</v>
      </c>
    </row>
    <row r="51" spans="1:4" x14ac:dyDescent="0.25">
      <c r="A51" s="2">
        <v>255</v>
      </c>
      <c r="B51" s="2">
        <v>255</v>
      </c>
      <c r="D51" s="2">
        <v>3950</v>
      </c>
    </row>
    <row r="52" spans="1:4" x14ac:dyDescent="0.25">
      <c r="A52" s="2">
        <v>260</v>
      </c>
      <c r="B52" s="2">
        <v>260</v>
      </c>
      <c r="D52" s="2">
        <v>4000</v>
      </c>
    </row>
    <row r="53" spans="1:4" x14ac:dyDescent="0.25">
      <c r="A53" s="2">
        <v>265</v>
      </c>
      <c r="B53" s="2">
        <v>265</v>
      </c>
      <c r="D53" s="2">
        <v>4050</v>
      </c>
    </row>
    <row r="54" spans="1:4" x14ac:dyDescent="0.25">
      <c r="A54" s="2">
        <v>270</v>
      </c>
      <c r="B54" s="2">
        <v>270</v>
      </c>
      <c r="D54" s="2">
        <v>4100</v>
      </c>
    </row>
    <row r="55" spans="1:4" x14ac:dyDescent="0.25">
      <c r="A55" s="2">
        <v>275</v>
      </c>
      <c r="B55" s="2">
        <v>275</v>
      </c>
      <c r="D55" s="2">
        <v>4150</v>
      </c>
    </row>
    <row r="56" spans="1:4" x14ac:dyDescent="0.25">
      <c r="A56" s="2">
        <v>280</v>
      </c>
      <c r="B56" s="2">
        <v>280</v>
      </c>
      <c r="D56" s="2">
        <v>4200</v>
      </c>
    </row>
    <row r="57" spans="1:4" x14ac:dyDescent="0.25">
      <c r="A57" s="2">
        <v>285</v>
      </c>
      <c r="B57" s="2">
        <v>285</v>
      </c>
      <c r="D57" s="2">
        <v>4250</v>
      </c>
    </row>
    <row r="58" spans="1:4" x14ac:dyDescent="0.25">
      <c r="A58" s="2">
        <v>290</v>
      </c>
      <c r="B58" s="2">
        <v>290</v>
      </c>
      <c r="D58" s="2">
        <v>4300</v>
      </c>
    </row>
    <row r="59" spans="1:4" x14ac:dyDescent="0.25">
      <c r="A59" s="2">
        <v>295</v>
      </c>
      <c r="B59" s="2">
        <v>295</v>
      </c>
      <c r="D59" s="2">
        <v>4350</v>
      </c>
    </row>
    <row r="60" spans="1:4" x14ac:dyDescent="0.25">
      <c r="A60" s="2">
        <v>300</v>
      </c>
      <c r="B60" s="2">
        <v>300</v>
      </c>
      <c r="D60" s="2">
        <v>4400</v>
      </c>
    </row>
    <row r="61" spans="1:4" x14ac:dyDescent="0.25">
      <c r="A61" s="2">
        <v>305</v>
      </c>
      <c r="B61" s="2">
        <v>305</v>
      </c>
      <c r="D61" s="2">
        <v>4450</v>
      </c>
    </row>
    <row r="62" spans="1:4" x14ac:dyDescent="0.25">
      <c r="A62" s="2">
        <v>310</v>
      </c>
      <c r="B62" s="2">
        <v>310</v>
      </c>
      <c r="D62" s="2">
        <v>4500</v>
      </c>
    </row>
    <row r="63" spans="1:4" x14ac:dyDescent="0.25">
      <c r="A63" s="2">
        <v>315</v>
      </c>
      <c r="B63" s="2">
        <v>315</v>
      </c>
      <c r="D63" s="2">
        <v>4550</v>
      </c>
    </row>
    <row r="64" spans="1:4" x14ac:dyDescent="0.25">
      <c r="A64" s="2">
        <v>320</v>
      </c>
      <c r="B64" s="2">
        <v>320</v>
      </c>
      <c r="D64" s="2">
        <v>4600</v>
      </c>
    </row>
    <row r="65" spans="1:4" x14ac:dyDescent="0.25">
      <c r="A65" s="2">
        <v>325</v>
      </c>
      <c r="B65" s="2">
        <v>325</v>
      </c>
      <c r="D65" s="2">
        <v>4650</v>
      </c>
    </row>
    <row r="66" spans="1:4" x14ac:dyDescent="0.25">
      <c r="A66" s="2">
        <v>330</v>
      </c>
      <c r="B66" s="2">
        <v>330</v>
      </c>
      <c r="D66" s="2">
        <v>4700</v>
      </c>
    </row>
    <row r="67" spans="1:4" x14ac:dyDescent="0.25">
      <c r="A67" s="2">
        <v>335</v>
      </c>
      <c r="B67" s="2">
        <v>335</v>
      </c>
      <c r="D67" s="2">
        <v>4750</v>
      </c>
    </row>
    <row r="68" spans="1:4" x14ac:dyDescent="0.25">
      <c r="A68" s="2">
        <v>340</v>
      </c>
      <c r="B68" s="2">
        <v>340</v>
      </c>
      <c r="D68" s="2">
        <v>4800</v>
      </c>
    </row>
    <row r="69" spans="1:4" x14ac:dyDescent="0.25">
      <c r="A69" s="2">
        <v>345</v>
      </c>
      <c r="B69" s="2">
        <v>345</v>
      </c>
      <c r="D69" s="2">
        <v>4850</v>
      </c>
    </row>
    <row r="70" spans="1:4" x14ac:dyDescent="0.25">
      <c r="A70" s="2">
        <v>350</v>
      </c>
      <c r="B70" s="2">
        <v>350</v>
      </c>
      <c r="D70" s="2">
        <v>4900</v>
      </c>
    </row>
    <row r="71" spans="1:4" x14ac:dyDescent="0.25">
      <c r="A71" s="2">
        <v>355</v>
      </c>
      <c r="B71" s="2">
        <v>355</v>
      </c>
      <c r="D71" s="2">
        <v>4950</v>
      </c>
    </row>
    <row r="72" spans="1:4" x14ac:dyDescent="0.25">
      <c r="A72" s="2">
        <v>360</v>
      </c>
      <c r="B72" s="2">
        <v>360</v>
      </c>
      <c r="D72" s="2">
        <v>5000</v>
      </c>
    </row>
    <row r="73" spans="1:4" x14ac:dyDescent="0.25">
      <c r="A73" s="2">
        <v>365</v>
      </c>
      <c r="B73" s="2">
        <v>365</v>
      </c>
      <c r="D73" s="2">
        <v>5050</v>
      </c>
    </row>
    <row r="74" spans="1:4" x14ac:dyDescent="0.25">
      <c r="A74" s="2">
        <v>370</v>
      </c>
      <c r="B74" s="2">
        <v>370</v>
      </c>
      <c r="D74" s="2">
        <v>5100</v>
      </c>
    </row>
    <row r="75" spans="1:4" x14ac:dyDescent="0.25">
      <c r="A75" s="2">
        <v>375</v>
      </c>
      <c r="B75" s="2">
        <v>375</v>
      </c>
      <c r="D75" s="2">
        <v>5150</v>
      </c>
    </row>
    <row r="76" spans="1:4" x14ac:dyDescent="0.25">
      <c r="A76" s="2">
        <v>380</v>
      </c>
      <c r="B76" s="2">
        <v>380</v>
      </c>
      <c r="D76" s="2">
        <v>5200</v>
      </c>
    </row>
    <row r="77" spans="1:4" x14ac:dyDescent="0.25">
      <c r="A77" s="2">
        <v>385</v>
      </c>
      <c r="B77" s="2">
        <v>385</v>
      </c>
      <c r="D77" s="2">
        <v>5250</v>
      </c>
    </row>
    <row r="78" spans="1:4" x14ac:dyDescent="0.25">
      <c r="A78" s="2">
        <v>390</v>
      </c>
      <c r="B78" s="2">
        <v>390</v>
      </c>
      <c r="D78" s="2">
        <v>5300</v>
      </c>
    </row>
    <row r="79" spans="1:4" x14ac:dyDescent="0.25">
      <c r="A79" s="2">
        <v>395</v>
      </c>
      <c r="B79" s="2">
        <v>395</v>
      </c>
      <c r="D79" s="2">
        <v>5350</v>
      </c>
    </row>
    <row r="80" spans="1:4" x14ac:dyDescent="0.25">
      <c r="A80" s="2">
        <v>400</v>
      </c>
      <c r="B80" s="2">
        <v>400</v>
      </c>
      <c r="D80" s="2">
        <v>5400</v>
      </c>
    </row>
    <row r="81" spans="1:4" x14ac:dyDescent="0.25">
      <c r="A81" s="2">
        <v>405</v>
      </c>
      <c r="B81" s="2">
        <v>405</v>
      </c>
      <c r="D81" s="2">
        <v>5450</v>
      </c>
    </row>
    <row r="82" spans="1:4" x14ac:dyDescent="0.25">
      <c r="A82" s="2">
        <v>410</v>
      </c>
      <c r="B82" s="2">
        <v>410</v>
      </c>
      <c r="D82" s="2">
        <v>5500</v>
      </c>
    </row>
    <row r="83" spans="1:4" x14ac:dyDescent="0.25">
      <c r="A83" s="2">
        <v>415</v>
      </c>
      <c r="B83" s="2">
        <v>415</v>
      </c>
      <c r="D83" s="2">
        <v>5550</v>
      </c>
    </row>
    <row r="84" spans="1:4" x14ac:dyDescent="0.25">
      <c r="A84" s="2">
        <v>420</v>
      </c>
      <c r="B84" s="2">
        <v>420</v>
      </c>
      <c r="D84" s="2">
        <v>5600</v>
      </c>
    </row>
    <row r="85" spans="1:4" x14ac:dyDescent="0.25">
      <c r="A85" s="2">
        <v>425</v>
      </c>
      <c r="B85" s="2">
        <v>425</v>
      </c>
      <c r="D85" s="2">
        <v>5650</v>
      </c>
    </row>
    <row r="86" spans="1:4" x14ac:dyDescent="0.25">
      <c r="A86" s="2">
        <v>430</v>
      </c>
      <c r="B86" s="2">
        <v>430</v>
      </c>
      <c r="D86" s="2">
        <v>5700</v>
      </c>
    </row>
    <row r="87" spans="1:4" x14ac:dyDescent="0.25">
      <c r="A87" s="2">
        <v>435</v>
      </c>
      <c r="B87" s="2">
        <v>435</v>
      </c>
      <c r="D87" s="2">
        <v>5750</v>
      </c>
    </row>
    <row r="88" spans="1:4" x14ac:dyDescent="0.25">
      <c r="A88" s="2">
        <v>440</v>
      </c>
      <c r="B88" s="2">
        <v>440</v>
      </c>
      <c r="D88" s="2">
        <v>5800</v>
      </c>
    </row>
    <row r="89" spans="1:4" x14ac:dyDescent="0.25">
      <c r="A89" s="2">
        <v>445</v>
      </c>
      <c r="B89" s="2">
        <v>445</v>
      </c>
      <c r="D89" s="2">
        <v>5850</v>
      </c>
    </row>
    <row r="90" spans="1:4" x14ac:dyDescent="0.25">
      <c r="A90" s="2">
        <v>450</v>
      </c>
      <c r="B90" s="2">
        <v>450</v>
      </c>
      <c r="D90" s="2">
        <v>5900</v>
      </c>
    </row>
    <row r="91" spans="1:4" x14ac:dyDescent="0.25">
      <c r="A91" s="2">
        <v>455</v>
      </c>
      <c r="B91" s="2">
        <v>455</v>
      </c>
      <c r="D91" s="2">
        <v>5950</v>
      </c>
    </row>
    <row r="92" spans="1:4" x14ac:dyDescent="0.25">
      <c r="A92" s="2">
        <v>460</v>
      </c>
      <c r="B92" s="2">
        <v>460</v>
      </c>
      <c r="D92" s="2">
        <v>6000</v>
      </c>
    </row>
    <row r="93" spans="1:4" x14ac:dyDescent="0.25">
      <c r="A93" s="2">
        <v>465</v>
      </c>
      <c r="B93" s="2">
        <v>465</v>
      </c>
      <c r="D93" s="2">
        <v>6050</v>
      </c>
    </row>
    <row r="94" spans="1:4" x14ac:dyDescent="0.25">
      <c r="A94" s="2">
        <v>470</v>
      </c>
      <c r="B94" s="2">
        <v>470</v>
      </c>
      <c r="D94" s="2">
        <v>6100</v>
      </c>
    </row>
    <row r="95" spans="1:4" x14ac:dyDescent="0.25">
      <c r="A95" s="2">
        <v>475</v>
      </c>
      <c r="B95" s="2">
        <v>475</v>
      </c>
      <c r="D95" s="2">
        <v>6150</v>
      </c>
    </row>
    <row r="96" spans="1:4" x14ac:dyDescent="0.25">
      <c r="A96" s="2">
        <v>480</v>
      </c>
      <c r="B96" s="2">
        <v>480</v>
      </c>
      <c r="D96" s="2">
        <v>6200</v>
      </c>
    </row>
    <row r="97" spans="1:4" x14ac:dyDescent="0.25">
      <c r="A97" s="2">
        <v>485</v>
      </c>
      <c r="B97" s="2">
        <v>485</v>
      </c>
      <c r="D97" s="2">
        <v>6250</v>
      </c>
    </row>
    <row r="98" spans="1:4" x14ac:dyDescent="0.25">
      <c r="A98" s="2">
        <v>490</v>
      </c>
      <c r="B98" s="2">
        <v>490</v>
      </c>
      <c r="D98" s="2">
        <v>6300</v>
      </c>
    </row>
    <row r="99" spans="1:4" x14ac:dyDescent="0.25">
      <c r="A99" s="2">
        <v>495</v>
      </c>
      <c r="B99" s="2">
        <v>495</v>
      </c>
      <c r="D99" s="2">
        <v>6350</v>
      </c>
    </row>
    <row r="100" spans="1:4" x14ac:dyDescent="0.25">
      <c r="A100" s="2">
        <v>500</v>
      </c>
      <c r="B100" s="2">
        <v>500</v>
      </c>
      <c r="D100" s="2">
        <v>6400</v>
      </c>
    </row>
    <row r="101" spans="1:4" x14ac:dyDescent="0.25">
      <c r="D101" s="2">
        <v>6450</v>
      </c>
    </row>
    <row r="102" spans="1:4" x14ac:dyDescent="0.25">
      <c r="D102" s="2">
        <v>6500</v>
      </c>
    </row>
    <row r="103" spans="1:4" x14ac:dyDescent="0.25">
      <c r="D103" s="2">
        <v>6550</v>
      </c>
    </row>
    <row r="104" spans="1:4" x14ac:dyDescent="0.25">
      <c r="D104" s="2">
        <v>6600</v>
      </c>
    </row>
    <row r="105" spans="1:4" x14ac:dyDescent="0.25">
      <c r="D105" s="2">
        <v>6650</v>
      </c>
    </row>
    <row r="106" spans="1:4" x14ac:dyDescent="0.25">
      <c r="D106" s="2">
        <v>6700</v>
      </c>
    </row>
    <row r="107" spans="1:4" x14ac:dyDescent="0.25">
      <c r="D107" s="2">
        <v>6750</v>
      </c>
    </row>
    <row r="108" spans="1:4" x14ac:dyDescent="0.25">
      <c r="D108" s="2">
        <v>6800</v>
      </c>
    </row>
    <row r="109" spans="1:4" x14ac:dyDescent="0.25">
      <c r="D109" s="2">
        <v>6850</v>
      </c>
    </row>
    <row r="110" spans="1:4" x14ac:dyDescent="0.25">
      <c r="D110" s="2">
        <v>6900</v>
      </c>
    </row>
    <row r="111" spans="1:4" x14ac:dyDescent="0.25">
      <c r="D111" s="2">
        <v>6950</v>
      </c>
    </row>
    <row r="112" spans="1:4" x14ac:dyDescent="0.25">
      <c r="D112" s="2">
        <v>7000</v>
      </c>
    </row>
    <row r="113" spans="4:4" x14ac:dyDescent="0.25">
      <c r="D113" s="2">
        <v>7050</v>
      </c>
    </row>
    <row r="114" spans="4:4" x14ac:dyDescent="0.25">
      <c r="D114" s="2">
        <v>7100</v>
      </c>
    </row>
    <row r="115" spans="4:4" x14ac:dyDescent="0.25">
      <c r="D115" s="2">
        <v>7150</v>
      </c>
    </row>
    <row r="116" spans="4:4" x14ac:dyDescent="0.25">
      <c r="D116" s="2">
        <v>7200</v>
      </c>
    </row>
    <row r="117" spans="4:4" x14ac:dyDescent="0.25">
      <c r="D117" s="2">
        <v>7250</v>
      </c>
    </row>
    <row r="118" spans="4:4" x14ac:dyDescent="0.25">
      <c r="D118" s="2">
        <v>7300</v>
      </c>
    </row>
    <row r="119" spans="4:4" x14ac:dyDescent="0.25">
      <c r="D119" s="2">
        <v>7350</v>
      </c>
    </row>
    <row r="120" spans="4:4" x14ac:dyDescent="0.25">
      <c r="D120" s="2">
        <v>7400</v>
      </c>
    </row>
    <row r="121" spans="4:4" x14ac:dyDescent="0.25">
      <c r="D121" s="2">
        <v>7450</v>
      </c>
    </row>
    <row r="122" spans="4:4" x14ac:dyDescent="0.25">
      <c r="D122" s="2">
        <v>7500</v>
      </c>
    </row>
    <row r="123" spans="4:4" x14ac:dyDescent="0.25">
      <c r="D123" s="2">
        <v>7550</v>
      </c>
    </row>
    <row r="124" spans="4:4" x14ac:dyDescent="0.25">
      <c r="D124" s="2">
        <v>7600</v>
      </c>
    </row>
    <row r="125" spans="4:4" x14ac:dyDescent="0.25">
      <c r="D125" s="2">
        <v>7650</v>
      </c>
    </row>
    <row r="126" spans="4:4" x14ac:dyDescent="0.25">
      <c r="D126" s="2">
        <v>7700</v>
      </c>
    </row>
    <row r="127" spans="4:4" x14ac:dyDescent="0.25">
      <c r="D127" s="2">
        <v>7750</v>
      </c>
    </row>
    <row r="128" spans="4:4" x14ac:dyDescent="0.25">
      <c r="D128" s="2">
        <v>7800</v>
      </c>
    </row>
    <row r="129" spans="4:4" x14ac:dyDescent="0.25">
      <c r="D129" s="2">
        <v>7850</v>
      </c>
    </row>
    <row r="130" spans="4:4" x14ac:dyDescent="0.25">
      <c r="D130" s="2">
        <v>7900</v>
      </c>
    </row>
    <row r="131" spans="4:4" x14ac:dyDescent="0.25">
      <c r="D131" s="2">
        <v>7950</v>
      </c>
    </row>
    <row r="132" spans="4:4" x14ac:dyDescent="0.25">
      <c r="D132" s="2">
        <v>8000</v>
      </c>
    </row>
    <row r="133" spans="4:4" x14ac:dyDescent="0.25">
      <c r="D133" s="2">
        <v>8050</v>
      </c>
    </row>
    <row r="134" spans="4:4" x14ac:dyDescent="0.25">
      <c r="D134" s="2">
        <v>8100</v>
      </c>
    </row>
    <row r="135" spans="4:4" x14ac:dyDescent="0.25">
      <c r="D135" s="2">
        <v>8150</v>
      </c>
    </row>
    <row r="136" spans="4:4" x14ac:dyDescent="0.25">
      <c r="D136" s="2">
        <v>8200</v>
      </c>
    </row>
    <row r="137" spans="4:4" x14ac:dyDescent="0.25">
      <c r="D137" s="2">
        <v>8250</v>
      </c>
    </row>
    <row r="138" spans="4:4" x14ac:dyDescent="0.25">
      <c r="D138" s="2">
        <v>8300</v>
      </c>
    </row>
    <row r="139" spans="4:4" x14ac:dyDescent="0.25">
      <c r="D139" s="2">
        <v>8350</v>
      </c>
    </row>
    <row r="140" spans="4:4" x14ac:dyDescent="0.25">
      <c r="D140" s="2">
        <v>8400</v>
      </c>
    </row>
    <row r="141" spans="4:4" x14ac:dyDescent="0.25">
      <c r="D141" s="2">
        <v>8450</v>
      </c>
    </row>
    <row r="142" spans="4:4" x14ac:dyDescent="0.25">
      <c r="D142" s="2">
        <v>8500</v>
      </c>
    </row>
    <row r="143" spans="4:4" x14ac:dyDescent="0.25">
      <c r="D143" s="2">
        <v>8550</v>
      </c>
    </row>
    <row r="144" spans="4:4" x14ac:dyDescent="0.25">
      <c r="D144" s="2">
        <v>8600</v>
      </c>
    </row>
    <row r="145" spans="4:4" x14ac:dyDescent="0.25">
      <c r="D145" s="2">
        <v>8650</v>
      </c>
    </row>
    <row r="146" spans="4:4" x14ac:dyDescent="0.25">
      <c r="D146" s="2">
        <v>8700</v>
      </c>
    </row>
    <row r="147" spans="4:4" x14ac:dyDescent="0.25">
      <c r="D147" s="2">
        <v>8750</v>
      </c>
    </row>
    <row r="148" spans="4:4" x14ac:dyDescent="0.25">
      <c r="D148" s="2">
        <v>8800</v>
      </c>
    </row>
    <row r="149" spans="4:4" x14ac:dyDescent="0.25">
      <c r="D149" s="2">
        <v>8850</v>
      </c>
    </row>
    <row r="150" spans="4:4" x14ac:dyDescent="0.25">
      <c r="D150" s="2">
        <v>8900</v>
      </c>
    </row>
    <row r="151" spans="4:4" x14ac:dyDescent="0.25">
      <c r="D151" s="2">
        <v>8950</v>
      </c>
    </row>
    <row r="152" spans="4:4" x14ac:dyDescent="0.25">
      <c r="D152" s="2">
        <v>9000</v>
      </c>
    </row>
    <row r="153" spans="4:4" x14ac:dyDescent="0.25">
      <c r="D153" s="2">
        <v>9050</v>
      </c>
    </row>
    <row r="154" spans="4:4" x14ac:dyDescent="0.25">
      <c r="D154" s="2">
        <v>9100</v>
      </c>
    </row>
    <row r="155" spans="4:4" x14ac:dyDescent="0.25">
      <c r="D155" s="2">
        <v>9150</v>
      </c>
    </row>
    <row r="156" spans="4:4" x14ac:dyDescent="0.25">
      <c r="D156" s="2">
        <v>9200</v>
      </c>
    </row>
    <row r="157" spans="4:4" x14ac:dyDescent="0.25">
      <c r="D157" s="2">
        <v>9250</v>
      </c>
    </row>
    <row r="158" spans="4:4" x14ac:dyDescent="0.25">
      <c r="D158" s="2">
        <v>9300</v>
      </c>
    </row>
    <row r="159" spans="4:4" x14ac:dyDescent="0.25">
      <c r="D159" s="2">
        <v>9350</v>
      </c>
    </row>
    <row r="160" spans="4:4" x14ac:dyDescent="0.25">
      <c r="D160" s="2">
        <v>9400</v>
      </c>
    </row>
    <row r="161" spans="4:4" x14ac:dyDescent="0.25">
      <c r="D161" s="2">
        <v>9450</v>
      </c>
    </row>
    <row r="162" spans="4:4" x14ac:dyDescent="0.25">
      <c r="D162" s="2">
        <v>9500</v>
      </c>
    </row>
    <row r="163" spans="4:4" x14ac:dyDescent="0.25">
      <c r="D163" s="2">
        <v>9550</v>
      </c>
    </row>
    <row r="164" spans="4:4" x14ac:dyDescent="0.25">
      <c r="D164" s="2">
        <v>9600</v>
      </c>
    </row>
    <row r="165" spans="4:4" x14ac:dyDescent="0.25">
      <c r="D165" s="2">
        <v>9650</v>
      </c>
    </row>
    <row r="166" spans="4:4" x14ac:dyDescent="0.25">
      <c r="D166" s="2">
        <v>9700</v>
      </c>
    </row>
    <row r="167" spans="4:4" x14ac:dyDescent="0.25">
      <c r="D167" s="2">
        <v>9750</v>
      </c>
    </row>
    <row r="168" spans="4:4" x14ac:dyDescent="0.25">
      <c r="D168" s="2">
        <v>9800</v>
      </c>
    </row>
    <row r="169" spans="4:4" x14ac:dyDescent="0.25">
      <c r="D169" s="2">
        <v>9850</v>
      </c>
    </row>
    <row r="170" spans="4:4" x14ac:dyDescent="0.25">
      <c r="D170" s="2">
        <v>9900</v>
      </c>
    </row>
    <row r="171" spans="4:4" x14ac:dyDescent="0.25">
      <c r="D171" s="2">
        <v>9950</v>
      </c>
    </row>
    <row r="172" spans="4:4" x14ac:dyDescent="0.25">
      <c r="D172" s="2">
        <v>10000</v>
      </c>
    </row>
    <row r="173" spans="4:4" x14ac:dyDescent="0.25">
      <c r="D173" s="2">
        <v>10050</v>
      </c>
    </row>
    <row r="174" spans="4:4" x14ac:dyDescent="0.25">
      <c r="D174" s="2">
        <v>10100</v>
      </c>
    </row>
    <row r="175" spans="4:4" x14ac:dyDescent="0.25">
      <c r="D175" s="2">
        <v>10150</v>
      </c>
    </row>
    <row r="176" spans="4:4" x14ac:dyDescent="0.25">
      <c r="D176" s="2">
        <v>10200</v>
      </c>
    </row>
    <row r="177" spans="4:4" x14ac:dyDescent="0.25">
      <c r="D177" s="2">
        <v>10250</v>
      </c>
    </row>
    <row r="178" spans="4:4" x14ac:dyDescent="0.25">
      <c r="D178" s="2">
        <v>10300</v>
      </c>
    </row>
    <row r="179" spans="4:4" x14ac:dyDescent="0.25">
      <c r="D179" s="2">
        <v>10350</v>
      </c>
    </row>
    <row r="180" spans="4:4" x14ac:dyDescent="0.25">
      <c r="D180" s="2">
        <v>10400</v>
      </c>
    </row>
    <row r="181" spans="4:4" x14ac:dyDescent="0.25">
      <c r="D181" s="2">
        <v>10450</v>
      </c>
    </row>
    <row r="182" spans="4:4" x14ac:dyDescent="0.25">
      <c r="D182" s="2">
        <v>10500</v>
      </c>
    </row>
    <row r="183" spans="4:4" x14ac:dyDescent="0.25">
      <c r="D183" s="2">
        <v>10550</v>
      </c>
    </row>
    <row r="184" spans="4:4" x14ac:dyDescent="0.25">
      <c r="D184" s="2">
        <v>10600</v>
      </c>
    </row>
    <row r="185" spans="4:4" x14ac:dyDescent="0.25">
      <c r="D185" s="2">
        <v>10650</v>
      </c>
    </row>
    <row r="186" spans="4:4" x14ac:dyDescent="0.25">
      <c r="D186" s="2">
        <v>10700</v>
      </c>
    </row>
    <row r="187" spans="4:4" x14ac:dyDescent="0.25">
      <c r="D187" s="2">
        <v>10750</v>
      </c>
    </row>
    <row r="188" spans="4:4" x14ac:dyDescent="0.25">
      <c r="D188" s="2">
        <v>10800</v>
      </c>
    </row>
    <row r="189" spans="4:4" x14ac:dyDescent="0.25">
      <c r="D189" s="2">
        <v>10850</v>
      </c>
    </row>
    <row r="190" spans="4:4" x14ac:dyDescent="0.25">
      <c r="D190" s="2">
        <v>10900</v>
      </c>
    </row>
    <row r="191" spans="4:4" x14ac:dyDescent="0.25">
      <c r="D191" s="2">
        <v>10950</v>
      </c>
    </row>
    <row r="192" spans="4:4" x14ac:dyDescent="0.25">
      <c r="D192" s="2">
        <v>11000</v>
      </c>
    </row>
    <row r="193" spans="4:4" x14ac:dyDescent="0.25">
      <c r="D193" s="2">
        <v>11050</v>
      </c>
    </row>
    <row r="194" spans="4:4" x14ac:dyDescent="0.25">
      <c r="D194" s="2">
        <v>11100</v>
      </c>
    </row>
    <row r="195" spans="4:4" x14ac:dyDescent="0.25">
      <c r="D195" s="2">
        <v>11150</v>
      </c>
    </row>
    <row r="196" spans="4:4" x14ac:dyDescent="0.25">
      <c r="D196" s="2">
        <v>11200</v>
      </c>
    </row>
    <row r="197" spans="4:4" x14ac:dyDescent="0.25">
      <c r="D197" s="2">
        <v>11250</v>
      </c>
    </row>
    <row r="198" spans="4:4" x14ac:dyDescent="0.25">
      <c r="D198" s="2">
        <v>11300</v>
      </c>
    </row>
    <row r="199" spans="4:4" x14ac:dyDescent="0.25">
      <c r="D199" s="2">
        <v>11350</v>
      </c>
    </row>
    <row r="200" spans="4:4" x14ac:dyDescent="0.25">
      <c r="D200" s="2">
        <v>11400</v>
      </c>
    </row>
    <row r="201" spans="4:4" x14ac:dyDescent="0.25">
      <c r="D201" s="2">
        <v>11450</v>
      </c>
    </row>
    <row r="202" spans="4:4" x14ac:dyDescent="0.25">
      <c r="D202" s="2">
        <v>11500</v>
      </c>
    </row>
    <row r="203" spans="4:4" x14ac:dyDescent="0.25">
      <c r="D203" s="2">
        <v>11550</v>
      </c>
    </row>
    <row r="204" spans="4:4" x14ac:dyDescent="0.25">
      <c r="D204" s="2">
        <v>11600</v>
      </c>
    </row>
    <row r="205" spans="4:4" x14ac:dyDescent="0.25">
      <c r="D205" s="2">
        <v>11650</v>
      </c>
    </row>
    <row r="206" spans="4:4" x14ac:dyDescent="0.25">
      <c r="D206" s="2">
        <v>11700</v>
      </c>
    </row>
    <row r="207" spans="4:4" x14ac:dyDescent="0.25">
      <c r="D207" s="2">
        <v>11750</v>
      </c>
    </row>
    <row r="208" spans="4:4" x14ac:dyDescent="0.25">
      <c r="D208" s="2">
        <v>11800</v>
      </c>
    </row>
    <row r="209" spans="4:4" x14ac:dyDescent="0.25">
      <c r="D209" s="2">
        <v>11850</v>
      </c>
    </row>
    <row r="210" spans="4:4" x14ac:dyDescent="0.25">
      <c r="D210" s="2">
        <v>11900</v>
      </c>
    </row>
    <row r="211" spans="4:4" x14ac:dyDescent="0.25">
      <c r="D211" s="2">
        <v>11950</v>
      </c>
    </row>
    <row r="212" spans="4:4" x14ac:dyDescent="0.25">
      <c r="D212" s="2">
        <v>12000</v>
      </c>
    </row>
    <row r="213" spans="4:4" x14ac:dyDescent="0.25">
      <c r="D213" s="2">
        <v>12050</v>
      </c>
    </row>
    <row r="214" spans="4:4" x14ac:dyDescent="0.25">
      <c r="D214" s="2">
        <v>12100</v>
      </c>
    </row>
    <row r="215" spans="4:4" x14ac:dyDescent="0.25">
      <c r="D215" s="2">
        <v>12150</v>
      </c>
    </row>
    <row r="216" spans="4:4" x14ac:dyDescent="0.25">
      <c r="D216" s="2">
        <v>12200</v>
      </c>
    </row>
    <row r="217" spans="4:4" x14ac:dyDescent="0.25">
      <c r="D217" s="2">
        <v>12250</v>
      </c>
    </row>
    <row r="218" spans="4:4" x14ac:dyDescent="0.25">
      <c r="D218" s="2">
        <v>12300</v>
      </c>
    </row>
    <row r="219" spans="4:4" x14ac:dyDescent="0.25">
      <c r="D219" s="2">
        <v>12350</v>
      </c>
    </row>
    <row r="220" spans="4:4" x14ac:dyDescent="0.25">
      <c r="D220" s="2">
        <v>12400</v>
      </c>
    </row>
    <row r="221" spans="4:4" x14ac:dyDescent="0.25">
      <c r="D221" s="2">
        <v>12450</v>
      </c>
    </row>
    <row r="222" spans="4:4" x14ac:dyDescent="0.25">
      <c r="D222" s="2">
        <v>12500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C180FD-FBA2-4C71-8779-986A5E69C0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ENTRADA_DATOS</vt:lpstr>
      <vt:lpstr>HojaPrincipal</vt:lpstr>
      <vt:lpstr>CAT_RODAMIENTOS</vt:lpstr>
      <vt:lpstr>LISTA_EJE_TUBO</vt:lpstr>
      <vt:lpstr>LISTA_MATERIALES</vt:lpstr>
      <vt:lpstr>DIAMETROS Y PASOS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 4</dc:creator>
  <cp:lastModifiedBy>OT 4</cp:lastModifiedBy>
  <cp:lastPrinted>2025-12-19T10:20:47Z</cp:lastPrinted>
  <dcterms:created xsi:type="dcterms:W3CDTF">2025-12-19T09:56:39Z</dcterms:created>
  <dcterms:modified xsi:type="dcterms:W3CDTF">2025-12-23T08:34:14Z</dcterms:modified>
</cp:coreProperties>
</file>